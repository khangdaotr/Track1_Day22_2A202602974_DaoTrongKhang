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476d95455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95e2c4aa66b94f35"/>
    <x:sheet xmlns:r="http://schemas.openxmlformats.org/officeDocument/2006/relationships" name="1_Cost_Job" sheetId="2" r:id="Rb3f3aaec9e4b4cca"/>
    <x:sheet xmlns:r="http://schemas.openxmlformats.org/officeDocument/2006/relationships" name="2_Pricing" sheetId="3" r:id="R2a25280f427b45de"/>
    <x:sheet xmlns:r="http://schemas.openxmlformats.org/officeDocument/2006/relationships" name="3_Value_Metric" sheetId="4" r:id="Rff5cd91a5c094a68"/>
    <x:sheet xmlns:r="http://schemas.openxmlformats.org/officeDocument/2006/relationships" name="4_Channel_Fit" sheetId="5" r:id="R73290952bacc409d"/>
    <x:sheet xmlns:r="http://schemas.openxmlformats.org/officeDocument/2006/relationships" name="5_90Day_Plan" sheetId="6" r:id="R2029579c7d2d4cec"/>
    <x:sheet xmlns:r="http://schemas.openxmlformats.org/officeDocument/2006/relationships" name="6_Benchmarks" sheetId="7" r:id="Rc422dbc389d24ffb"/>
  </x:sheets>
</x: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======
ID#AAACIQEOV6c
Unknown Author    (2026-10-08 02:20:56)
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<x:sst xmlns:x="http://schemas.openxmlformats.org/spreadsheetml/2006/main">
  <x:si>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</x:si>
  <x:si>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</x:si>
  <x:si>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</x:si>
  <x:si>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</x:si>
  <x:si>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</x:si>
  <x:si>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</x:si>
  <x:si>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</x:si>
  <x:si>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</x:si>
  <x:si>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</x:si>
  <x:si>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</x:si>
  <x:si>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</x:si>
  <x:si>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</x:si>
  <x:si>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</x:si>
  <x:si>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</x:si>
  <x:si>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</x:si>
  <x:si>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</x:si>
  <x:si>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</x:si>
  <x:si>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</x:si>
  <x:si>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</x:si>
  <x:si>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</x:si>
  <x:si>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</x:si>
  <x:si>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</x:si>
  <x:si>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</x:si>
  <x:si>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</x:si>
  <x:si>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</x:si>
  <x:si>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</x:si>
  <x:si>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</x:si>
  <x:si>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</x:si>
  <x:si>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</x:si>
  <x:si>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</x:si>
  <x:si>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</x:si>
  <x:si>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</x:si>
  <x:si>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</x:si>
  <x:si>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</x:si>
  <x:si>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</x:si>
  <x:si>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</x:si>
  <x:si>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</x:si>
  <x:si>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</x:si>
  <x:si>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</x:si>
  <x:si>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</x:si>
  <x:si>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</x:si>
  <x:si>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</x:si>
  <x:si>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</x:si>
  <x:si>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</x:si>
  <x:si>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</x:si>
  <x:si>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</x:si>
  <x:si>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</x:si>
  <x:si>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</x:si>
  <x:si>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</x:si>
  <x:si>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</x:si>
  <x:si>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Giá cache READ ($ / 1M token)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</x:si>
  <x:si>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</x:si>
  <x:si>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</x:si>
  <x:si>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</x:si>
  <x:si>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</x:si>
  <x:si>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</x:si>
  <x:si>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</x:si>
  <x:si>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</x:si>
  <x:si>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</x:si>
  <x:si>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</x:si>
  <x:si>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</x:si>
  <x:si>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</x:si>
  <x:si>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</x:si>
  <x:si>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</x:si>
  <x:si>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</x:si>
  <x:si>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</x:si>
  <x:si>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</x:si>
  <x:si>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</x:si>
  <x:si>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</x:si>
  <x:si>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</x:si>
  <x:si>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</x:si>
  <x:si>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</x:si>
  <x:si>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</x:si>
  <x:si>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</x:si>
  <x:si>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</x:si>
  <x:si>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</x:si>
  <x:si>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</x:si>
  <x:si>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</x:si>
  <x:si>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</x:si>
  <x:si>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</x:si>
  <x:si>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</x:si>
  <x:si>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</x:si>
  <x:si>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</x:si>
  <x:si>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Vector DB, embedding, storage, logging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</x:si>
  <x:si>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</x:si>
  <x:si>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</x:si>
  <x:si>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</x:si>
  <x:si>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</x:si>
  <x:si>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ĐỪNG để 0%. Thực tế 5–10% là bình thường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</x:si>
  <x:si>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</x:si>
  <x:si>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</x:si>
  <x:si>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</x:si>
  <x:si>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</x:si>
  <x:si>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</x:si>
  <x:si>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</x:si>
  <x:si>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</x:si>
  <x:si>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</x:si>
  <x:si>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</x:si>
  <x:si>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</x:si>
  <x:si>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</x:si>
  <x:si>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</x:si>
  <x:si>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</x:si>
  <x:si>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</x:si>
  <x:si>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Để 0 nếu chỉ muốn xem Cost/Job thuần COGS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</x:si>
  <x:si>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</x:si>
  <x:si>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</x:si>
  <x:si>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</x:si>
  <x:si>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</x:si>
  <x:si>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</x:si>
  <x:si>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</x:si>
  <x:si>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</x:si>
  <x:si>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</x:si>
  <x:si>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</x:si>
  <x:si>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</x:si>
  <x:si>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</x:si>
  <x:si>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Thay bằng tỷ giá thực tế khi làm bài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</x:si>
  <x:si>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</x:si>
  <x:si>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</x:si>
  <x:si>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</x:si>
  <x:si>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</x:si>
  <x:si>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</x:si>
  <x:si>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</x:si>
  <x:si>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</x:si>
  <x:si>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</x:si>
  <x:si>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</x:si>
  <x:si>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</x:si>
  <x:si>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</x:si>
  <x:si>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</x:si>
  <x:si>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</x:si>
  <x:si>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</x:si>
  <x:si>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</x:si>
  <x:si>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</x:si>
  <x:si>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</x:si>
  <x:si>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</x:si>
  <x:si>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</x:si>
  <x:si>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</x:si>
  <x:si>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Neo theo giá trị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</x:si>
  <x:si>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</x:si>
  <x:si>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</x:si>
  <x:si>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</x:si>
  <x:si>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</x:si>
  <x:si>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Neo theo nhân công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</x:si>
  <x:si>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</x:si>
  <x:si>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</x:si>
  <x:si>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</x:si>
  <x:si>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</x:si>
  <x:si>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Tham chiếu: Intercom Fin $0,99 · Zendesk $1,50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</x:si>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</x:sst>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7">
    <x:numFmt numFmtId="164" formatCode="0.0%"/>
    <x:numFmt numFmtId="165" formatCode="\$#,##0.0000"/>
    <x:numFmt numFmtId="166" formatCode="#,##0.0"/>
    <x:numFmt numFmtId="167" formatCode="\$#,##0.00"/>
    <x:numFmt numFmtId="168" formatCode="\$#,##0"/>
    <x:numFmt numFmtId="169" formatCode="#,##0.0\×"/>
    <x:numFmt numFmtId="170" formatCode="#,##0&quot; ₫&quot;"/>
  </x:numFmts>
  <x:fonts count="11">
    <x:font>
      <x:sz val="11"/>
      <x:color theme="1"/>
      <x:name val="Calibri"/>
    </x:font>
    <x:font>
      <x:b/>
      <x:sz val="14"/>
      <x:color rgb="FFFFFFFF"/>
      <x:name val="Arial"/>
    </x:font>
    <x:font>
      <x:sz val="11"/>
      <x:color theme="1"/>
      <x:name val="Calibri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color theme="1"/>
      <x:name val="Arial"/>
    </x:font>
    <x:font>
      <x:sz val="10"/>
      <x:color rgb="FF008000"/>
      <x:name val="Arial"/>
    </x:font>
    <x:font>
      <x:b/>
      <x:sz val="10"/>
      <x:color theme="1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E8EAF6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</x:fills>
  <x:borders count="3">
    <x:border/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4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bottom" wrapText="0"/>
    </x:xf>
    <x:xf numFmtId="0" fontId="2" fillId="2" borderId="1" xfId="0" applyFont="1" applyFill="1" applyBorder="1" applyAlignment="1">
      <x:alignment vertical="bottom" wrapText="0"/>
    </x:xf>
    <x:xf numFmtId="0" fontId="3" fillId="0" borderId="0" xfId="0" applyFont="1" applyAlignment="1">
      <x:alignment vertical="bottom" wrapText="0"/>
    </x:xf>
    <x:xf numFmtId="0" fontId="4" fillId="0" borderId="0" xfId="0" applyFont="1" applyAlignment="1">
      <x:alignment vertical="bottom" wrapText="0"/>
    </x:xf>
    <x:xf numFmtId="0" fontId="5" fillId="3" borderId="2" xfId="0" applyFont="1" applyFill="1" applyBorder="1" applyAlignment="1">
      <x:alignment vertical="bottom" wrapText="0"/>
    </x:xf>
    <x:xf numFmtId="0" fontId="6" fillId="0" borderId="0" xfId="0" applyFont="1" applyAlignment="1">
      <x:alignment vertical="bottom" wrapText="0"/>
    </x:xf>
    <x:xf numFmtId="0" fontId="4" fillId="4" borderId="1" xfId="0" applyFont="1" applyFill="1" applyBorder="1" applyAlignment="1">
      <x:alignment vertical="bottom" wrapText="0"/>
    </x:xf>
    <x:xf numFmtId="0" fontId="6" fillId="5" borderId="2" xfId="0" applyFont="1" applyFill="1" applyBorder="1" applyAlignment="1">
      <x:alignment vertical="bottom" wrapText="0"/>
    </x:xf>
    <x:xf numFmtId="0" fontId="7" fillId="0" borderId="2" xfId="0" applyFont="1" applyBorder="1" applyAlignment="1">
      <x:alignment vertical="bottom" wrapText="0"/>
    </x:xf>
    <x:xf numFmtId="0" fontId="2" fillId="4" borderId="1" xfId="0" applyFont="1" applyFill="1" applyBorder="1" applyAlignment="1">
      <x:alignment vertical="bottom" wrapText="0"/>
    </x:xf>
    <x:xf numFmtId="0" fontId="6" fillId="6" borderId="2" xfId="0" applyFont="1" applyFill="1" applyBorder="1" applyAlignment="1">
      <x:alignment vertical="bottom" wrapText="0"/>
    </x:xf>
    <x:xf numFmtId="0" fontId="8" fillId="0" borderId="0" xfId="0" applyFont="1" applyAlignment="1">
      <x:alignment vertical="bottom" wrapText="0"/>
    </x:xf>
    <x:xf numFmtId="0" fontId="5" fillId="3" borderId="2" xfId="0" applyFont="1" applyFill="1" applyBorder="1" applyAlignment="1">
      <x:alignment horizontal="center" vertical="bottom" wrapText="0"/>
    </x:xf>
    <x:xf numFmtId="0" fontId="6" fillId="0" borderId="0" xfId="0" applyFont="1" applyAlignment="1">
      <x:alignment vertical="bottom" wrapText="0"/>
    </x:xf>
    <x:xf numFmtId="3" fontId="5" fillId="3" borderId="2" xfId="0" applyNumberFormat="1" applyFont="1" applyFill="1" applyBorder="1" applyAlignment="1">
      <x:alignment vertical="bottom" wrapText="0"/>
    </x:xf>
    <x:xf numFmtId="164" fontId="5" fillId="3" borderId="2" xfId="0" applyNumberFormat="1" applyFont="1" applyFill="1" applyBorder="1" applyAlignment="1">
      <x:alignment vertical="bottom" wrapText="0"/>
    </x:xf>
    <x:xf numFmtId="0" fontId="3" fillId="0" borderId="0" xfId="0" applyFont="1" applyAlignment="1">
      <x:alignment vertical="bottom" wrapText="0"/>
    </x:xf>
    <x:xf numFmtId="3" fontId="9" fillId="5" borderId="2" xfId="0" applyNumberFormat="1" applyFont="1" applyFill="1" applyBorder="1" applyAlignment="1">
      <x:alignment vertical="bottom" wrapText="0"/>
    </x:xf>
    <x:xf numFmtId="3" fontId="6" fillId="5" borderId="2" xfId="0" applyNumberFormat="1" applyFont="1" applyFill="1" applyBorder="1" applyAlignment="1">
      <x:alignment vertical="bottom" wrapText="0"/>
    </x:xf>
    <x:xf numFmtId="165" fontId="7" fillId="5" borderId="2" xfId="0" applyNumberFormat="1" applyFont="1" applyFill="1" applyBorder="1" applyAlignment="1">
      <x:alignment vertical="bottom" wrapText="0"/>
    </x:xf>
    <x:xf numFmtId="166" fontId="5" fillId="3" borderId="2" xfId="0" applyNumberFormat="1" applyFont="1" applyFill="1" applyBorder="1" applyAlignment="1">
      <x:alignment vertical="bottom" wrapText="0"/>
    </x:xf>
    <x:xf numFmtId="167" fontId="5" fillId="3" borderId="2" xfId="0" applyNumberFormat="1" applyFont="1" applyFill="1" applyBorder="1" applyAlignment="1">
      <x:alignment vertical="bottom" wrapText="0"/>
    </x:xf>
    <x:xf numFmtId="165" fontId="9" fillId="5" borderId="2" xfId="0" applyNumberFormat="1" applyFont="1" applyFill="1" applyBorder="1" applyAlignment="1">
      <x:alignment vertical="bottom" wrapText="0"/>
    </x:xf>
    <x:xf numFmtId="165" fontId="6" fillId="5" borderId="2" xfId="0" applyNumberFormat="1" applyFont="1" applyFill="1" applyBorder="1" applyAlignment="1">
      <x:alignment vertical="bottom" wrapText="0"/>
    </x:xf>
    <x:xf numFmtId="168" fontId="5" fillId="3" borderId="2" xfId="0" applyNumberFormat="1" applyFont="1" applyFill="1" applyBorder="1" applyAlignment="1">
      <x:alignment vertical="bottom" wrapText="0"/>
    </x:xf>
    <x:xf numFmtId="0" fontId="9" fillId="5" borderId="2" xfId="0" applyFont="1" applyFill="1" applyBorder="1" applyAlignment="1">
      <x:alignment vertical="bottom" wrapText="0"/>
    </x:xf>
    <x:xf numFmtId="0" fontId="8" fillId="6" borderId="2" xfId="0" applyFont="1" applyFill="1" applyBorder="1" applyAlignment="1">
      <x:alignment vertical="bottom" wrapText="0"/>
    </x:xf>
    <x:xf numFmtId="164" fontId="6" fillId="5" borderId="2" xfId="0" applyNumberFormat="1" applyFont="1" applyFill="1" applyBorder="1" applyAlignment="1">
      <x:alignment vertical="bottom" wrapText="0"/>
    </x:xf>
    <x:xf numFmtId="165" fontId="5" fillId="3" borderId="2" xfId="0" applyNumberFormat="1" applyFont="1" applyFill="1" applyBorder="1" applyAlignment="1">
      <x:alignment vertical="bottom" wrapText="0"/>
    </x:xf>
    <x:xf numFmtId="169" fontId="6" fillId="5" borderId="2" xfId="0" applyNumberFormat="1" applyFont="1" applyFill="1" applyBorder="1" applyAlignment="1">
      <x:alignment vertical="bottom" wrapText="0"/>
    </x:xf>
    <x:xf numFmtId="164" fontId="9" fillId="5" borderId="2" xfId="0" applyNumberFormat="1" applyFont="1" applyFill="1" applyBorder="1" applyAlignment="1">
      <x:alignment vertical="bottom" wrapText="0"/>
    </x:xf>
    <x:xf numFmtId="167" fontId="6" fillId="5" borderId="2" xfId="0" applyNumberFormat="1" applyFont="1" applyFill="1" applyBorder="1" applyAlignment="1">
      <x:alignment vertical="bottom" wrapText="0"/>
    </x:xf>
    <x:xf numFmtId="167" fontId="9" fillId="5" borderId="2" xfId="0" applyNumberFormat="1" applyFont="1" applyFill="1" applyBorder="1" applyAlignment="1">
      <x:alignment vertical="bottom" wrapText="0"/>
    </x:xf>
    <x:xf numFmtId="164" fontId="7" fillId="5" borderId="2" xfId="0" applyNumberFormat="1" applyFont="1" applyFill="1" applyBorder="1" applyAlignment="1">
      <x:alignment vertical="bottom" wrapText="0"/>
    </x:xf>
    <x:xf numFmtId="168" fontId="9" fillId="5" borderId="2" xfId="0" applyNumberFormat="1" applyFont="1" applyFill="1" applyBorder="1" applyAlignment="1">
      <x:alignment vertical="bottom" wrapText="0"/>
    </x:xf>
    <x:xf numFmtId="170" fontId="6" fillId="5" borderId="2" xfId="0" applyNumberFormat="1" applyFont="1" applyFill="1" applyBorder="1" applyAlignment="1">
      <x:alignment vertical="bottom" wrapText="0"/>
    </x:xf>
    <x:xf numFmtId="168" fontId="6" fillId="5" borderId="2" xfId="0" applyNumberFormat="1" applyFont="1" applyFill="1" applyBorder="1" applyAlignment="1">
      <x:alignment vertical="bottom" wrapText="0"/>
    </x:xf>
    <x:xf numFmtId="4" fontId="9" fillId="5" borderId="2" xfId="0" applyNumberFormat="1" applyFont="1" applyFill="1" applyBorder="1" applyAlignment="1">
      <x:alignment vertical="bottom" wrapText="0"/>
    </x:xf>
    <x:xf numFmtId="169" fontId="9" fillId="5" borderId="2" xfId="0" applyNumberFormat="1" applyFont="1" applyFill="1" applyBorder="1" applyAlignment="1">
      <x:alignment vertical="bottom" wrapText="0"/>
    </x:xf>
    <x:xf numFmtId="164" fontId="6" fillId="6" borderId="2" xfId="0" applyNumberFormat="1" applyFont="1" applyFill="1" applyBorder="1" applyAlignment="1">
      <x:alignment vertical="bottom" wrapText="0"/>
    </x:xf>
    <x:xf numFmtId="0" fontId="5" fillId="3" borderId="2" xfId="0" applyFont="1" applyFill="1" applyBorder="1" applyAlignment="1">
      <x:alignment vertical="top" wrapText="1"/>
    </x:xf>
    <x:xf numFmtId="0" fontId="10" fillId="2" borderId="2" xfId="0" applyFont="1" applyFill="1" applyBorder="1" applyAlignment="1">
      <x:alignment vertical="bottom" wrapText="0"/>
    </x:xf>
    <x:xf numFmtId="0" fontId="6" fillId="6" borderId="2" xfId="0" applyFont="1" applyFill="1" applyBorder="1" applyAlignment="1">
      <x:alignment vertical="top" wrapText="0"/>
    </x:xf>
    <x:xf numFmtId="0" fontId="3" fillId="6" borderId="2" xfId="0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fbecddb88407c" /><Relationship Type="http://schemas.openxmlformats.org/officeDocument/2006/relationships/theme" Target="/xl/theme/theme1.xml" Id="Rffe9232e852b4c70" /><Relationship Type="http://schemas.openxmlformats.org/officeDocument/2006/relationships/sharedStrings" Target="/xl/sharedStrings.xml" Id="R5d151098169a4c29" /><Relationship Type="http://schemas.openxmlformats.org/officeDocument/2006/relationships/worksheet" Target="/xl/worksheets/sheet1.xml" Id="R95e2c4aa66b94f35" /><Relationship Type="http://schemas.openxmlformats.org/officeDocument/2006/relationships/worksheet" Target="/xl/worksheets/sheet2.xml" Id="Rb3f3aaec9e4b4cca" /><Relationship Type="http://schemas.openxmlformats.org/officeDocument/2006/relationships/worksheet" Target="/xl/worksheets/sheet3.xml" Id="R2a25280f427b45de" /><Relationship Type="http://schemas.openxmlformats.org/officeDocument/2006/relationships/worksheet" Target="/xl/worksheets/sheet4.xml" Id="Rff5cd91a5c094a68" /><Relationship Type="http://schemas.openxmlformats.org/officeDocument/2006/relationships/worksheet" Target="/xl/worksheets/sheet5.xml" Id="R73290952bacc409d" /><Relationship Type="http://schemas.openxmlformats.org/officeDocument/2006/relationships/worksheet" Target="/xl/worksheets/sheet6.xml" Id="R2029579c7d2d4cec" /><Relationship Type="http://schemas.openxmlformats.org/officeDocument/2006/relationships/worksheet" Target="/xl/worksheets/sheet7.xml" Id="Rc422dbc389d24ff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bc54cbdee284d9e" /><Relationship Type="http://schemas.openxmlformats.org/officeDocument/2006/relationships/vmlDrawing" Target="/xl/drawings/vmldrawing.vml" Id="R46bf609df75847b1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2" customWidth="1"/>
    <x:col min="2" max="2" width="62" customWidth="1"/>
    <x:col min="3" max="8" width="15" customWidth="1"/>
    <x:col min="9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>
      <x:c r="A2" s="3" t="s">
        <x:v>1</x:v>
      </x:c>
    </x:row>
    <x:row r="4">
      <x:c r="A4" s="4" t="s">
        <x:v>2</x:v>
      </x:c>
    </x:row>
    <x:row r="5">
      <x:c r="A5" s="5" t="s">
        <x:v>3</x:v>
      </x:c>
      <x:c r="B5" s="6" t="s">
        <x:v>4</x:v>
      </x:c>
    </x:row>
    <x:row r="6">
      <x:c r="A6" s="8" t="s">
        <x:v>5</x:v>
      </x:c>
      <x:c r="B6" s="6" t="s">
        <x:v>6</x:v>
      </x:c>
    </x:row>
    <x:row r="7">
      <x:c r="A7" s="9" t="s">
        <x:v>7</x:v>
      </x:c>
      <x:c r="B7" s="6" t="s">
        <x:v>8</x:v>
      </x:c>
    </x:row>
    <x:row r="8">
      <x:c r="A8" s="11" t="s">
        <x:v>9</x:v>
      </x:c>
      <x:c r="B8" s="6" t="s">
        <x:v>10</x:v>
      </x:c>
    </x:row>
    <x:row r="10">
      <x:c r="A10" s="4" t="s">
        <x:v>11</x:v>
      </x:c>
    </x:row>
    <x:row r="11">
      <x:c r="A11" s="12" t="s">
        <x:v>12</x:v>
      </x:c>
      <x:c r="B11" s="6" t="s">
        <x:v>13</x:v>
      </x:c>
    </x:row>
    <x:row r="12">
      <x:c r="A12" s="12" t="s">
        <x:v>14</x:v>
      </x:c>
      <x:c r="B12" s="6" t="s">
        <x:v>15</x:v>
      </x:c>
    </x:row>
    <x:row r="13">
      <x:c r="A13" s="12" t="s">
        <x:v>16</x:v>
      </x:c>
      <x:c r="B13" s="6" t="s">
        <x:v>17</x:v>
      </x:c>
    </x:row>
    <x:row r="14">
      <x:c r="A14" s="12" t="s">
        <x:v>18</x:v>
      </x:c>
      <x:c r="B14" s="6" t="s">
        <x:v>19</x:v>
      </x:c>
    </x:row>
    <x:row r="15">
      <x:c r="A15" s="12" t="s">
        <x:v>20</x:v>
      </x:c>
      <x:c r="B15" s="6" t="s">
        <x:v>21</x:v>
      </x:c>
    </x:row>
    <x:row r="16">
      <x:c r="A16" s="12" t="s">
        <x:v>22</x:v>
      </x:c>
      <x:c r="B16" s="6" t="s">
        <x:v>23</x:v>
      </x:c>
    </x:row>
    <x:row r="18">
      <x:c r="A18" s="4" t="s">
        <x:v>24</x:v>
      </x:c>
    </x:row>
    <x:row r="19">
      <x:c r="A19" s="6" t="s">
        <x:v>25</x:v>
      </x:c>
    </x:row>
    <x:row r="20">
      <x:c r="A20" s="6" t="s">
        <x:v>26</x:v>
      </x:c>
    </x:row>
    <x:row r="21" ht="15.75" customHeight="1">
      <x:c r="A21" s="6" t="s">
        <x:v>27</x:v>
      </x:c>
    </x:row>
    <x:row r="22" ht="15.75" customHeight="1"/>
    <x:row r="23" ht="15.75" customHeight="1">
      <x:c r="A23" s="3" t="s">
        <x:v>28</x:v>
      </x:c>
    </x:row>
    <x:row r="24" ht="15.75" customHeight="1">
      <x:c r="A24" s="3" t="s">
        <x:v>29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2" customWidth="1"/>
    <x:col min="5" max="8" width="15" customWidth="1"/>
    <x:col min="9" max="26" width="8.710000038146973" customWidth="1"/>
  </x:cols>
  <x:sheetData>
    <x:row r="1" ht="24" customHeight="1">
      <x:c r="A1" s="1" t="s">
        <x:v>30</x:v>
      </x:c>
      <x:c r="B1" s="2"/>
      <x:c r="C1" s="2"/>
      <x:c r="D1" s="2"/>
      <x:c r="E1" s="2"/>
      <x:c r="F1" s="2"/>
      <x:c r="G1" s="2"/>
      <x:c r="H1" s="2"/>
    </x:row>
    <x:row r="2">
      <x:c r="A2" s="3" t="s">
        <x:v>31</x:v>
      </x:c>
    </x:row>
    <x:row r="4">
      <x:c r="A4" s="7" t="s">
        <x:v>32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33</x:v>
      </x:c>
      <x:c r="B5" s="5" t="str">
        <x:v>1 vòng STAR hoàn tất: đủ 4 câu + 4 điểm + báo cáo; không tính bỏ dở/lỗi/escalate</x:v>
      </x:c>
      <x:c r="D5" s="3" t="s">
        <x:v>34</x:v>
      </x:c>
    </x:row>
    <x:row r="6">
      <x:c r="A6" s="6" t="s">
        <x:v>35</x:v>
      </x:c>
      <x:c r="B6" s="13" t="str">
        <x:v>A</x:v>
      </x:c>
      <x:c r="D6" s="3" t="s">
        <x:v>36</x:v>
      </x:c>
    </x:row>
    <x:row r="8">
      <x:c r="A8" s="7" t="s">
        <x:v>37</x:v>
      </x:c>
      <x:c r="B8" s="10"/>
      <x:c r="C8" s="10"/>
      <x:c r="D8" s="10"/>
      <x:c r="E8" s="10"/>
      <x:c r="F8" s="10"/>
      <x:c r="G8" s="10"/>
      <x:c r="H8" s="10"/>
    </x:row>
    <x:row r="9">
      <x:c r="A9" s="6" t="s">
        <x:v>38</x:v>
      </x:c>
      <x:c r="B9" s="15" t="n">
        <x:v>200</x:v>
      </x:c>
      <x:c r="C9" s="3" t="s">
        <x:v>39</x:v>
      </x:c>
    </x:row>
    <x:row r="10">
      <x:c r="A10" s="6" t="s">
        <x:v>40</x:v>
      </x:c>
      <x:c r="B10" s="16" t="n">
        <x:v>0.8</x:v>
      </x:c>
      <x:c r="D10" s="17" t="s">
        <x:v>41</x:v>
      </x:c>
    </x:row>
    <x:row r="11">
      <x:c r="A11" s="6" t="s">
        <x:v>42</x:v>
      </x:c>
      <x:c r="B11" s="19" t="n">
        <x:f>B9*B10</x:f>
        <x:v>160</x:v>
      </x:c>
      <x:c r="C11" s="3" t="s">
        <x:v>39</x:v>
      </x:c>
      <x:c r="D11" s="3" t="s">
        <x:v>43</x:v>
      </x:c>
    </x:row>
    <x:row r="12">
      <x:c r="A12" s="6" t="s">
        <x:v>44</x:v>
      </x:c>
      <x:c r="B12" s="19" t="n">
        <x:f>B9-B11</x:f>
        <x:v>40</x:v>
      </x:c>
      <x:c r="C12" s="3" t="s">
        <x:v>39</x:v>
      </x:c>
      <x:c r="D12" s="3" t="s">
        <x:v>45</x:v>
      </x:c>
    </x:row>
    <x:row r="14">
      <x:c r="A14" s="7" t="s">
        <x:v>46</x:v>
      </x:c>
      <x:c r="B14" s="10"/>
      <x:c r="C14" s="10"/>
      <x:c r="D14" s="10"/>
      <x:c r="E14" s="10"/>
      <x:c r="F14" s="10"/>
      <x:c r="G14" s="10"/>
      <x:c r="H14" s="10"/>
    </x:row>
    <x:row r="15">
      <x:c r="A15" s="6" t="s">
        <x:v>47</x:v>
      </x:c>
      <x:c r="B15" s="22" t="n">
        <x:v>0.75</x:v>
      </x:c>
      <x:c r="D15" s="3" t="str">
        <x:v>Gemini 3.7 Flash — giá KM đến 31/12/2026; xem tab 6_Benchmarks</x:v>
      </x:c>
    </x:row>
    <x:row r="16">
      <x:c r="A16" s="6" t="s">
        <x:v>48</x:v>
      </x:c>
      <x:c r="B16" s="22" t="n">
        <x:v>3.75</x:v>
      </x:c>
    </x:row>
    <x:row r="17">
      <x:c r="A17" s="6" t="s">
        <x:v>49</x:v>
      </x:c>
      <x:c r="B17" s="22" t="n">
        <x:v>0.75</x:v>
      </x:c>
      <x:c r="D17" s="3" t="str">
        <x:v>Cache create ước theo input standard; cần xác nhận billing khi triển khai</x:v>
      </x:c>
    </x:row>
    <x:row r="18">
      <x:c r="A18" s="6" t="s">
        <x:v>50</x:v>
      </x:c>
      <x:c r="B18" s="22" t="n">
        <x:v>0.075</x:v>
      </x:c>
      <x:c r="D18" s="3" t="str">
        <x:v>Gemini cached input = 0,1× input trong giai đoạn KM</x:v>
      </x:c>
    </x:row>
    <x:row r="19">
      <x:c r="A19" s="6" t="s">
        <x:v>51</x:v>
      </x:c>
      <x:c r="B19" s="15" t="n">
        <x:v>4</x:v>
      </x:c>
      <x:c r="C19" s="3" t="s">
        <x:v>52</x:v>
      </x:c>
    </x:row>
    <x:row r="20">
      <x:c r="A20" s="6" t="s">
        <x:v>53</x:v>
      </x:c>
      <x:c r="B20" s="15" t="n">
        <x:v>1500</x:v>
      </x:c>
      <x:c r="C20" s="3" t="s">
        <x:v>54</x:v>
      </x:c>
      <x:c r="D20" s="3" t="s">
        <x:v>55</x:v>
      </x:c>
    </x:row>
    <x:row r="21" ht="15.75" customHeight="1">
      <x:c r="A21" s="6" t="s">
        <x:v>56</x:v>
      </x:c>
      <x:c r="B21" s="15" t="n">
        <x:v>800</x:v>
      </x:c>
      <x:c r="C21" s="3" t="s">
        <x:v>54</x:v>
      </x:c>
      <x:c r="D21" s="3" t="s">
        <x:v>57</x:v>
      </x:c>
    </x:row>
    <x:row r="22" ht="15.75" customHeight="1">
      <x:c r="A22" s="6" t="s">
        <x:v>58</x:v>
      </x:c>
      <x:c r="B22" s="15" t="n">
        <x:v>350</x:v>
      </x:c>
      <x:c r="C22" s="3" t="s">
        <x:v>54</x:v>
      </x:c>
    </x:row>
    <x:row r="23" ht="15.75" customHeight="1">
      <x:c r="A23" s="6" t="s">
        <x:v>59</x:v>
      </x:c>
      <x:c r="B23" s="24" t="n">
        <x:f>B20*B17/1000000</x:f>
        <x:v>0.001125</x:v>
      </x:c>
    </x:row>
    <x:row r="24" ht="15.75" customHeight="1">
      <x:c r="A24" s="6" t="s">
        <x:v>60</x:v>
      </x:c>
      <x:c r="B24" s="24" t="n">
        <x:f>(B19-1)*B20*B18/1000000</x:f>
        <x:v>0.0003375</x:v>
      </x:c>
    </x:row>
    <x:row r="25" ht="15.75" customHeight="1">
      <x:c r="A25" s="6" t="s">
        <x:v>61</x:v>
      </x:c>
      <x:c r="B25" s="24" t="n">
        <x:f>B19*B21*B15/1000000</x:f>
        <x:v>0.0024</x:v>
      </x:c>
    </x:row>
    <x:row r="26" ht="15.75" customHeight="1">
      <x:c r="A26" s="6" t="s">
        <x:v>62</x:v>
      </x:c>
      <x:c r="B26" s="24" t="n">
        <x:f>B19*B22*B16/1000000</x:f>
        <x:v>0.00525</x:v>
      </x:c>
    </x:row>
    <x:row r="27" ht="15.75" customHeight="1">
      <x:c r="A27" s="12" t="s">
        <x:v>63</x:v>
      </x:c>
      <x:c r="B27" s="23" t="n">
        <x:f>SUM(B23:B26)</x:f>
        <x:v>0.009112499999999999</x:v>
      </x:c>
    </x:row>
    <x:row r="28" ht="15.75" customHeight="1">
      <x:c r="A28" s="6" t="s">
        <x:v>64</x:v>
      </x:c>
      <x:c r="B28" s="24" t="n">
        <x:f>B19*(B20+B21)*B15/1000000+B26</x:f>
        <x:v>0.012150000000000001</x:v>
      </x:c>
    </x:row>
    <x:row r="29" ht="15.75" customHeight="1">
      <x:c r="A29" s="6" t="s">
        <x:v>65</x:v>
      </x:c>
      <x:c r="B29" s="28" t="n">
        <x:f>IF(B28=0,0,1-B27/B28)</x:f>
        <x:v>0.2500000000000001</x:v>
      </x:c>
      <x:c r="D29" s="3" t="s">
        <x:v>66</x:v>
      </x:c>
    </x:row>
    <x:row r="30" ht="15.75" customHeight="1">
      <x:c r="A30" s="6" t="s">
        <x:v>67</x:v>
      </x:c>
      <x:c r="B30" s="15" t="n">
        <x:v>0</x:v>
      </x:c>
      <x:c r="D30" s="3" t="s">
        <x:v>68</x:v>
      </x:c>
    </x:row>
    <x:row r="31" ht="15.75" customHeight="1">
      <x:c r="A31" s="12" t="s">
        <x:v>69</x:v>
      </x:c>
      <x:c r="B31" s="23" t="n">
        <x:f>B27*(1-B30*0.5)</x:f>
        <x:v>0.009112499999999999</x:v>
      </x:c>
    </x:row>
    <x:row r="32" ht="15.75" customHeight="1"/>
    <x:row r="33" ht="15.75" customHeight="1">
      <x:c r="A33" s="7" t="s">
        <x:v>70</x:v>
      </x:c>
      <x:c r="B33" s="10"/>
      <x:c r="C33" s="10"/>
      <x:c r="D33" s="10"/>
      <x:c r="E33" s="10"/>
      <x:c r="F33" s="10"/>
      <x:c r="G33" s="10"/>
      <x:c r="H33" s="10"/>
    </x:row>
    <x:row r="34" ht="15.75" customHeight="1">
      <x:c r="A34" s="6" t="s">
        <x:v>71</x:v>
      </x:c>
      <x:c r="B34" s="29" t="n">
        <x:v>0</x:v>
      </x:c>
      <x:c r="D34" s="3" t="s">
        <x:v>72</x:v>
      </x:c>
    </x:row>
    <x:row r="35" ht="15.75" customHeight="1">
      <x:c r="A35" s="6" t="s">
        <x:v>73</x:v>
      </x:c>
      <x:c r="B35" s="21" t="n">
        <x:v>0</x:v>
      </x:c>
      <x:c r="C35" s="3" t="s">
        <x:v>74</x:v>
      </x:c>
    </x:row>
    <x:row r="36" ht="15.75" customHeight="1">
      <x:c r="A36" s="6" t="s">
        <x:v>75</x:v>
      </x:c>
      <x:c r="B36" s="22" t="n">
        <x:v>0</x:v>
      </x:c>
      <x:c r="D36" s="3" t="s">
        <x:v>76</x:v>
      </x:c>
    </x:row>
    <x:row r="37" ht="15.75" customHeight="1">
      <x:c r="A37" s="6" t="s">
        <x:v>77</x:v>
      </x:c>
      <x:c r="B37" s="15" t="n">
        <x:v>0</x:v>
      </x:c>
      <x:c r="C37" s="3" t="s">
        <x:v>78</x:v>
      </x:c>
      <x:c r="D37" s="3" t="s">
        <x:v>79</x:v>
      </x:c>
    </x:row>
    <x:row r="38" ht="15.75" customHeight="1">
      <x:c r="A38" s="6" t="s">
        <x:v>80</x:v>
      </x:c>
      <x:c r="B38" s="24" t="n">
        <x:f>B34*B35+B36*B37/1000000</x:f>
        <x:v>0</x:v>
      </x:c>
    </x:row>
    <x:row r="39" ht="15.75" customHeight="1"/>
    <x:row r="40" ht="15.75" customHeight="1">
      <x:c r="A40" s="7" t="s">
        <x:v>81</x:v>
      </x:c>
      <x:c r="B40" s="10"/>
      <x:c r="C40" s="10"/>
      <x:c r="D40" s="10"/>
      <x:c r="E40" s="10"/>
      <x:c r="F40" s="10"/>
      <x:c r="G40" s="10"/>
      <x:c r="H40" s="10"/>
    </x:row>
    <x:row r="41" ht="15.75" customHeight="1">
      <x:c r="A41" s="6" t="s">
        <x:v>82</x:v>
      </x:c>
      <x:c r="B41" s="29" t="n">
        <x:v>0.03</x:v>
      </x:c>
      <x:c r="D41" s="3" t="s">
        <x:v>83</x:v>
      </x:c>
    </x:row>
    <x:row r="42" ht="15.75" customHeight="1">
      <x:c r="A42" s="6" t="s">
        <x:v>84</x:v>
      </x:c>
      <x:c r="B42" s="29" t="n">
        <x:v>0</x:v>
      </x:c>
    </x:row>
    <x:row r="43" ht="15.75" customHeight="1">
      <x:c r="A43" s="6" t="s">
        <x:v>85</x:v>
      </x:c>
      <x:c r="B43" s="24" t="n">
        <x:f>B41+B42*B35</x:f>
        <x:v>0.03</x:v>
      </x:c>
    </x:row>
    <x:row r="44" ht="15.75" customHeight="1"/>
    <x:row r="45" ht="15.75" customHeight="1">
      <x:c r="A45" s="7" t="s">
        <x:v>86</x:v>
      </x:c>
      <x:c r="B45" s="10"/>
      <x:c r="C45" s="10"/>
      <x:c r="D45" s="10"/>
      <x:c r="E45" s="10"/>
      <x:c r="F45" s="10"/>
      <x:c r="G45" s="10"/>
      <x:c r="H45" s="10"/>
    </x:row>
    <x:row r="46" ht="15.75" customHeight="1">
      <x:c r="A46" s="6" t="s">
        <x:v>87</x:v>
      </x:c>
      <x:c r="B46" s="16" t="n">
        <x:v>0.08</x:v>
      </x:c>
      <x:c r="D46" s="3" t="s">
        <x:v>88</x:v>
      </x:c>
    </x:row>
    <x:row r="47" ht="15.75" customHeight="1">
      <x:c r="A47" s="6" t="s">
        <x:v>89</x:v>
      </x:c>
      <x:c r="B47" s="24" t="n">
        <x:f>(B31+B38)*B46</x:f>
        <x:v>0.0007289999999999999</x:v>
      </x:c>
    </x:row>
    <x:row r="48" ht="15.75" customHeight="1"/>
    <x:row r="49" ht="15.75" customHeight="1">
      <x:c r="A49" s="7" t="s">
        <x:v>90</x:v>
      </x:c>
      <x:c r="B49" s="10"/>
      <x:c r="C49" s="10"/>
      <x:c r="D49" s="10"/>
      <x:c r="E49" s="10"/>
      <x:c r="F49" s="10"/>
      <x:c r="G49" s="10"/>
      <x:c r="H49" s="10"/>
    </x:row>
    <x:row r="50" ht="15.75" customHeight="1">
      <x:c r="A50" s="6" t="s">
        <x:v>91</x:v>
      </x:c>
      <x:c r="B50" s="22" t="n">
        <x:v>6</x:v>
      </x:c>
      <x:c r="D50" s="3" t="s">
        <x:v>92</x:v>
      </x:c>
    </x:row>
    <x:row r="51" ht="15.75" customHeight="1">
      <x:c r="A51" s="6" t="s">
        <x:v>93</x:v>
      </x:c>
      <x:c r="B51" s="16" t="n">
        <x:v>0.1</x:v>
      </x:c>
      <x:c r="D51" s="3" t="s">
        <x:v>94</x:v>
      </x:c>
    </x:row>
    <x:row r="52" ht="15.75" customHeight="1">
      <x:c r="A52" s="6" t="s">
        <x:v>95</x:v>
      </x:c>
      <x:c r="B52" s="21" t="n">
        <x:v>3</x:v>
      </x:c>
      <x:c r="C52" s="3" t="s">
        <x:v>74</x:v>
      </x:c>
    </x:row>
    <x:row r="53" ht="15.75" customHeight="1">
      <x:c r="A53" s="6" t="s">
        <x:v>96</x:v>
      </x:c>
      <x:c r="B53" s="21" t="n">
        <x:v>12</x:v>
      </x:c>
      <x:c r="C53" s="3" t="s">
        <x:v>74</x:v>
      </x:c>
    </x:row>
    <x:row r="54" ht="15.75" customHeight="1">
      <x:c r="A54" s="6" t="s">
        <x:v>97</x:v>
      </x:c>
      <x:c r="B54" s="32" t="n">
        <x:f>B9*B51*(B52/60)*B50</x:f>
        <x:v>6</x:v>
      </x:c>
    </x:row>
    <x:row r="55" ht="15.75" customHeight="1">
      <x:c r="A55" s="6" t="s">
        <x:v>98</x:v>
      </x:c>
      <x:c r="B55" s="32" t="n">
        <x:f>IF(B6="B",B12*(B53/60)*B50,0)</x:f>
        <x:v>0</x:v>
      </x:c>
      <x:c r="D55" s="3" t="s">
        <x:v>99</x:v>
      </x:c>
    </x:row>
    <x:row r="56" ht="15.75" customHeight="1">
      <x:c r="A56" s="12" t="s">
        <x:v>100</x:v>
      </x:c>
      <x:c r="B56" s="33" t="n">
        <x:f>B54+B55</x:f>
        <x:v>6</x:v>
      </x:c>
    </x:row>
    <x:row r="57" ht="15.75" customHeight="1"/>
    <x:row r="58" ht="15.75" customHeight="1">
      <x:c r="A58" s="7" t="s">
        <x:v>101</x:v>
      </x:c>
      <x:c r="B58" s="10"/>
      <x:c r="C58" s="10"/>
      <x:c r="D58" s="10"/>
      <x:c r="E58" s="10"/>
      <x:c r="F58" s="10"/>
      <x:c r="G58" s="10"/>
      <x:c r="H58" s="10"/>
    </x:row>
    <x:row r="59" ht="15.75" customHeight="1">
      <x:c r="A59" s="6" t="s">
        <x:v>102</x:v>
      </x:c>
      <x:c r="B59" s="22" t="n">
        <x:v>0</x:v>
      </x:c>
      <x:c r="D59" s="3" t="s">
        <x:v>103</x:v>
      </x:c>
    </x:row>
    <x:row r="60" ht="15.75" customHeight="1"/>
    <x:row r="61" ht="15.75" customHeight="1">
      <x:c r="A61" s="7" t="s">
        <x:v>104</x:v>
      </x:c>
      <x:c r="B61" s="10"/>
      <x:c r="C61" s="10"/>
      <x:c r="D61" s="10"/>
      <x:c r="E61" s="10"/>
      <x:c r="F61" s="10"/>
      <x:c r="G61" s="10"/>
      <x:c r="H61" s="10"/>
    </x:row>
    <x:row r="62" ht="15.75" customHeight="1">
      <x:c r="A62" s="6" t="s">
        <x:v>105</x:v>
      </x:c>
      <x:c r="B62" s="32" t="n">
        <x:f>B9*(B31+B38+B43+B47)</x:f>
        <x:v>7.968299999999999</x:v>
      </x:c>
    </x:row>
    <x:row r="63" ht="15.75" customHeight="1">
      <x:c r="A63" s="6" t="s">
        <x:v>106</x:v>
      </x:c>
      <x:c r="B63" s="32" t="n">
        <x:f>B56</x:f>
        <x:v>6</x:v>
      </x:c>
    </x:row>
    <x:row r="64" ht="15.75" customHeight="1">
      <x:c r="A64" s="6" t="s">
        <x:v>107</x:v>
      </x:c>
      <x:c r="B64" s="32" t="n">
        <x:f>B59</x:f>
        <x:v>0</x:v>
      </x:c>
    </x:row>
    <x:row r="65" ht="15.75" customHeight="1">
      <x:c r="A65" s="6" t="s">
        <x:v>108</x:v>
      </x:c>
      <x:c r="B65" s="32" t="n">
        <x:f>B62+B63+B64</x:f>
        <x:v>13.9683</x:v>
      </x:c>
    </x:row>
    <x:row r="66" ht="15.75" customHeight="1">
      <x:c r="A66" s="12" t="s">
        <x:v>109</x:v>
      </x:c>
      <x:c r="B66" s="23" t="n">
        <x:f>IF(B11=0,0,(B62+B63)/B11)</x:f>
        <x:v>0.087301875</x:v>
      </x:c>
      <x:c r="C66" s="3" t="s">
        <x:v>110</x:v>
      </x:c>
      <x:c r="D66" s="3" t="s">
        <x:v>111</x:v>
      </x:c>
    </x:row>
    <x:row r="67" ht="15.75" customHeight="1">
      <x:c r="A67" s="12" t="s">
        <x:v>112</x:v>
      </x:c>
      <x:c r="B67" s="23" t="n">
        <x:f>IF(B11=0,0,B65/B11)</x:f>
        <x:v>0.087301875</x:v>
      </x:c>
      <x:c r="C67" s="3" t="s">
        <x:v>110</x:v>
      </x:c>
    </x:row>
    <x:row r="68" ht="15.75" customHeight="1">
      <x:c r="A68" s="6" t="s">
        <x:v>113</x:v>
      </x:c>
      <x:c r="B68" s="15" t="n">
        <x:v>26170</x:v>
      </x:c>
      <x:c r="C68" s="3" t="s">
        <x:v>114</x:v>
      </x:c>
      <x:c r="D68" s="3" t="s">
        <x:v>115</x:v>
      </x:c>
    </x:row>
    <x:row r="69" ht="15.75" customHeight="1">
      <x:c r="A69" s="6" t="s">
        <x:v>116</x:v>
      </x:c>
      <x:c r="B69" s="36" t="n">
        <x:f>B66*B68</x:f>
        <x:v>2284.69006875</x:v>
      </x:c>
      <x:c r="C69" s="3" t="s">
        <x:v>117</x:v>
      </x:c>
    </x:row>
    <x:row r="70" ht="15.75" customHeight="1"/>
    <x:row r="71" ht="15.75" customHeight="1">
      <x:c r="A71" s="7" t="s">
        <x:v>118</x:v>
      </x:c>
      <x:c r="B71" s="10"/>
      <x:c r="C71" s="10"/>
      <x:c r="D71" s="10"/>
      <x:c r="E71" s="10"/>
      <x:c r="F71" s="10"/>
      <x:c r="G71" s="10"/>
      <x:c r="H71" s="10"/>
    </x:row>
    <x:row r="72" ht="15.75" customHeight="1">
      <x:c r="A72" s="6" t="s">
        <x:v>119</x:v>
      </x:c>
      <x:c r="B72" s="32" t="n">
        <x:f>B9*B31</x:f>
        <x:v>1.8224999999999998</x:v>
      </x:c>
      <x:c r="C72" s="28" t="n">
        <x:f t="shared" ref="C72:C77" si="1">IF($B$65=0,0,B72/$B$65)</x:f>
        <x:v>0.13047400184703936</x:v>
      </x:c>
    </x:row>
    <x:row r="73" ht="15.75" customHeight="1">
      <x:c r="A73" s="6" t="s">
        <x:v>120</x:v>
      </x:c>
      <x:c r="B73" s="32" t="n">
        <x:f>B9*B38</x:f>
        <x:v>0</x:v>
      </x:c>
      <x:c r="C73" s="28" t="n">
        <x:f t="shared" si="1">IF($B$65=0,0,B73/$B$65)</x:f>
        <x:v>0</x:v>
      </x:c>
    </x:row>
    <x:row r="74" ht="15.75" customHeight="1">
      <x:c r="A74" s="6" t="s">
        <x:v>121</x:v>
      </x:c>
      <x:c r="B74" s="32" t="n">
        <x:f>B9*B43</x:f>
        <x:v>6</x:v>
      </x:c>
      <x:c r="C74" s="28" t="n">
        <x:f t="shared" si="1">IF($B$65=0,0,B74/$B$65)</x:f>
        <x:v>0.42954403900259874</x:v>
      </x:c>
    </x:row>
    <x:row r="75" ht="15.75" customHeight="1">
      <x:c r="A75" s="6" t="s">
        <x:v>122</x:v>
      </x:c>
      <x:c r="B75" s="32" t="n">
        <x:f>B9*B47</x:f>
        <x:v>0.14579999999999999</x:v>
      </x:c>
      <x:c r="C75" s="28" t="n">
        <x:f t="shared" si="1">IF($B$65=0,0,B75/$B$65)</x:f>
        <x:v>0.010437920147763149</x:v>
      </x:c>
    </x:row>
    <x:row r="76" ht="15.75" customHeight="1">
      <x:c r="A76" s="6" t="s">
        <x:v>123</x:v>
      </x:c>
      <x:c r="B76" s="32" t="n">
        <x:f>B56</x:f>
        <x:v>6</x:v>
      </x:c>
      <x:c r="C76" s="28" t="n">
        <x:f t="shared" si="1">IF($B$65=0,0,B76/$B$65)</x:f>
        <x:v>0.42954403900259874</x:v>
      </x:c>
    </x:row>
    <x:row r="77" ht="15.75" customHeight="1">
      <x:c r="A77" s="6" t="s">
        <x:v>124</x:v>
      </x:c>
      <x:c r="B77" s="32" t="n">
        <x:f>B59</x:f>
        <x:v>0</x:v>
      </x:c>
      <x:c r="C77" s="28" t="n">
        <x:f t="shared" si="1">IF($B$65=0,0,B77/$B$65)</x:f>
        <x:v>0</x:v>
      </x:c>
    </x:row>
    <x:row r="78" ht="15.75" customHeight="1">
      <x:c r="A78" s="3" t="s">
        <x:v>125</x:v>
      </x:c>
    </x:row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6">
      <x:formula1>"A,B"</x:formula1>
    </x:dataValidation>
  </x:dataValidations>
  <x:pageMargins left="0.7" right="0.7" top="0.75" bottom="0.75" header="0.3" footer="0.3"/>
  <x:legacyDrawing xmlns:r="http://schemas.openxmlformats.org/officeDocument/2006/relationships" r:id="R46bf609df75847b1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1" t="s">
        <x:v>126</x:v>
      </x:c>
      <x:c r="B1" s="2"/>
      <x:c r="C1" s="2"/>
      <x:c r="D1" s="2"/>
      <x:c r="E1" s="2"/>
      <x:c r="F1" s="2"/>
      <x:c r="G1" s="2"/>
      <x:c r="H1" s="2"/>
    </x:row>
    <x:row r="2">
      <x:c r="A2" s="3" t="s">
        <x:v>127</x:v>
      </x:c>
    </x:row>
    <x:row r="4">
      <x:c r="A4" s="7" t="s">
        <x:v>128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129</x:v>
      </x:c>
      <x:c r="B5" s="20" t="n">
        <x:f>'1_Cost_Job'!B66</x:f>
        <x:v>0.087301875</x:v>
      </x:c>
      <x:c r="C5" s="3" t="s">
        <x:v>110</x:v>
      </x:c>
    </x:row>
    <x:row r="6">
      <x:c r="A6" s="6" t="s">
        <x:v>130</x:v>
      </x:c>
      <x:c r="B6" s="21" t="n">
        <x:v>3</x:v>
      </x:c>
      <x:c r="C6" s="3" t="s">
        <x:v>131</x:v>
      </x:c>
      <x:c r="D6" s="17" t="s">
        <x:v>132</x:v>
      </x:c>
    </x:row>
    <x:row r="7">
      <x:c r="A7" s="12" t="s">
        <x:v>133</x:v>
      </x:c>
      <x:c r="B7" s="23" t="n">
        <x:f>B5*B6</x:f>
        <x:v>0.26190562500000003</x:v>
      </x:c>
      <x:c r="C7" s="3" t="s">
        <x:v>110</x:v>
      </x:c>
    </x:row>
    <x:row r="9">
      <x:c r="A9" s="7" t="s">
        <x:v>134</x:v>
      </x:c>
      <x:c r="B9" s="10"/>
      <x:c r="C9" s="10"/>
      <x:c r="D9" s="10"/>
      <x:c r="E9" s="10"/>
      <x:c r="F9" s="10"/>
      <x:c r="G9" s="10"/>
      <x:c r="H9" s="10"/>
    </x:row>
    <x:row r="10">
      <x:c r="A10" s="6" t="s">
        <x:v>135</x:v>
      </x:c>
      <x:c r="B10" s="25" t="n">
        <x:v>800</x:v>
      </x:c>
      <x:c r="D10" s="3" t="s">
        <x:v>136</x:v>
      </x:c>
    </x:row>
    <x:row r="11">
      <x:c r="A11" s="6" t="s">
        <x:v>137</x:v>
      </x:c>
      <x:c r="B11" s="15" t="n">
        <x:v>160</x:v>
      </x:c>
      <x:c r="C11" s="3" t="s">
        <x:v>39</x:v>
      </x:c>
    </x:row>
    <x:row r="12">
      <x:c r="A12" s="6" t="s">
        <x:v>138</x:v>
      </x:c>
      <x:c r="B12" s="24" t="n">
        <x:f>IF(B11=0,0,B10*0.1/B11)</x:f>
        <x:v>0.5</x:v>
      </x:c>
      <x:c r="C12" s="3" t="s">
        <x:v>110</x:v>
      </x:c>
    </x:row>
    <x:row r="13">
      <x:c r="A13" s="6" t="s">
        <x:v>139</x:v>
      </x:c>
      <x:c r="B13" s="24" t="n">
        <x:f>IF(B11=0,0,B10*0.25/B11)</x:f>
        <x:v>1.25</x:v>
      </x:c>
      <x:c r="C13" s="3" t="s">
        <x:v>110</x:v>
      </x:c>
    </x:row>
    <x:row r="14">
      <x:c r="A14" s="6" t="s">
        <x:v>140</x:v>
      </x:c>
      <x:c r="B14" s="25" t="n">
        <x:v>1000</x:v>
      </x:c>
      <x:c r="D14" s="3" t="s">
        <x:v>141</x:v>
      </x:c>
    </x:row>
    <x:row r="15">
      <x:c r="A15" s="6" t="s">
        <x:v>142</x:v>
      </x:c>
      <x:c r="B15" s="24" t="n">
        <x:f>IF(B11=0,0,B14*0.5/B11)</x:f>
        <x:v>3.125</x:v>
      </x:c>
      <x:c r="C15" s="3" t="s">
        <x:v>110</x:v>
      </x:c>
    </x:row>
    <x:row r="16">
      <x:c r="A16" s="6" t="s">
        <x:v>143</x:v>
      </x:c>
      <x:c r="B16" s="24" t="n">
        <x:f>IF(B11=0,0,B14*0.7/B11)</x:f>
        <x:v>4.375</x:v>
      </x:c>
      <x:c r="C16" s="3" t="s">
        <x:v>110</x:v>
      </x:c>
    </x:row>
    <x:row r="18">
      <x:c r="A18" s="7" t="s">
        <x:v>144</x:v>
      </x:c>
      <x:c r="B18" s="10"/>
      <x:c r="C18" s="10"/>
      <x:c r="D18" s="10"/>
      <x:c r="E18" s="10"/>
      <x:c r="F18" s="10"/>
      <x:c r="G18" s="10"/>
      <x:c r="H18" s="10"/>
    </x:row>
    <x:row r="19">
      <x:c r="A19" s="6" t="s">
        <x:v>145</x:v>
      </x:c>
      <x:c r="B19" s="29" t="n">
        <x:v>0.49</x:v>
      </x:c>
      <x:c r="C19" s="3" t="s">
        <x:v>110</x:v>
      </x:c>
      <x:c r="D19" s="3" t="s">
        <x:v>146</x:v>
      </x:c>
    </x:row>
    <x:row r="20">
      <x:c r="A20" s="6" t="s">
        <x:v>147</x:v>
      </x:c>
      <x:c r="B20" s="30" t="n">
        <x:f>IF(B5=0,0,B19/B5)</x:f>
        <x:v>5.612708776300623</x:v>
      </x:c>
    </x:row>
    <x:row r="21" ht="15.75" customHeight="1">
      <x:c r="A21" s="12" t="s">
        <x:v>148</x:v>
      </x:c>
      <x:c r="B21" s="31" t="n">
        <x:f>IF(B19=0,0,(B19-B5)/B19)</x:f>
        <x:v>0.8218329081632654</x:v>
      </x:c>
    </x:row>
    <x:row r="22" ht="15.75" customHeight="1">
      <x:c r="A22" s="6" t="s">
        <x:v>149</x:v>
      </x:c>
      <x:c r="B22" s="8" t="str">
        <x:f>IF(B20&gt;=B6,"OK — ĐẠT","KHÔNG ĐẠT — quay lại tab 1")</x:f>
        <x:v>OK — ĐẠT</x:v>
      </x:c>
    </x:row>
    <x:row r="23" ht="15.75" customHeight="1">
      <x:c r="A23" s="6" t="s">
        <x:v>150</x:v>
      </x:c>
      <x:c r="B23" s="8" t="str">
        <x:f>IF(B21&gt;=0.6,"OK — AN TOÀN (≥60%)",IF(B21&gt;=0.5,"CẢNH BÁO (50–60%)","NGUY HIỂM (&lt;50%)"))</x:f>
        <x:v>OK — AN TOÀN (≥60%)</x:v>
      </x:c>
    </x:row>
    <x:row r="24" ht="15.75" customHeight="1">
      <x:c r="A24" s="6" t="s">
        <x:v>151</x:v>
      </x:c>
      <x:c r="B24" s="8" t="str">
        <x:f>IF(B21&gt;0.85,"NGHI NGỜ — nhiều khả năng bạn quên một khoản chi phí","OK")</x:f>
        <x:v>OK</x:v>
      </x:c>
    </x:row>
    <x:row r="25" ht="15.75" customHeight="1">
      <x:c r="A25" s="6" t="s">
        <x:v>152</x:v>
      </x:c>
      <x:c r="B25" s="8" t="str">
        <x:f>IF(AND(B19&gt;=B7,B19&lt;=MAX(B13,B16)),"OK — trong vùng giá bán","XEM LẠI — ngoài vùng giá sàn/trần")</x:f>
        <x:v>OK — trong vùng giá bán</x:v>
      </x:c>
    </x:row>
    <x:row r="26" ht="15.75" customHeight="1"/>
    <x:row r="27" ht="15.75" customHeight="1">
      <x:c r="A27" s="7" t="s">
        <x:v>153</x:v>
      </x:c>
      <x:c r="B27" s="10"/>
      <x:c r="C27" s="10"/>
      <x:c r="D27" s="10"/>
      <x:c r="E27" s="10"/>
      <x:c r="F27" s="10"/>
      <x:c r="G27" s="10"/>
      <x:c r="H27" s="10"/>
    </x:row>
    <x:row r="28" ht="15.75" customHeight="1">
      <x:c r="A28" s="3" t="s">
        <x:v>154</x:v>
      </x:c>
    </x:row>
    <x:row r="29" ht="15.75" customHeight="1">
      <x:c r="A29" s="6" t="s">
        <x:v>155</x:v>
      </x:c>
      <x:c r="B29" s="20" t="n">
        <x:f>'1_Cost_Job'!B31+'1_Cost_Job'!B38+'1_Cost_Job'!B43+'1_Cost_Job'!B47</x:f>
        <x:v>0.039841499999999995</x:v>
      </x:c>
    </x:row>
    <x:row r="30" ht="15.75" customHeight="1">
      <x:c r="A30" s="6" t="s">
        <x:v>156</x:v>
      </x:c>
      <x:c r="B30" s="20" t="n">
        <x:f>'1_Cost_Job'!B51*('1_Cost_Job'!B52/60)*'1_Cost_Job'!B50</x:f>
        <x:v>0.030000000000000006</x:v>
      </x:c>
    </x:row>
    <x:row r="31" ht="15.75" customHeight="1">
      <x:c r="A31" s="6" t="s">
        <x:v>157</x:v>
      </x:c>
      <x:c r="B31" s="20" t="n">
        <x:f>IF('1_Cost_Job'!B6="B",('1_Cost_Job'!B53/60)*'1_Cost_Job'!B50,0)</x:f>
        <x:v>0</x:v>
      </x:c>
    </x:row>
    <x:row r="32" ht="15.75" customHeight="1">
      <x:c r="A32" s="6" t="s">
        <x:v>158</x:v>
      </x:c>
      <x:c r="B32" s="16" t="n">
        <x:v>0.6</x:v>
      </x:c>
    </x:row>
    <x:row r="33" ht="15.75" customHeight="1">
      <x:c r="A33" s="12" t="s">
        <x:v>159</x:v>
      </x:c>
      <x:c r="B33" s="31" t="n">
        <x:f>IF((B19*(1-B32)+B31)=0,0,(B29+B30+B31)/(B19*(1-B32)+B31))</x:f>
        <x:v>0.35633418367346936</x:v>
      </x:c>
      <x:c r="D33" s="3" t="s">
        <x:v>160</x:v>
      </x:c>
    </x:row>
    <x:row r="34" ht="15.75" customHeight="1">
      <x:c r="A34" s="6" t="s">
        <x:v>161</x:v>
      </x:c>
      <x:c r="B34" s="34" t="n">
        <x:f>'1_Cost_Job'!B10</x:f>
        <x:v>0.8</x:v>
      </x:c>
      <x:c r="D34" t="str">
        <x:v>80% là giả định base case; evaluation hiện chưa đo containment production</x:v>
      </x:c>
    </x:row>
    <x:row r="35" ht="15.75" customHeight="1">
      <x:c r="A35" s="6" t="s">
        <x:v>162</x:v>
      </x:c>
      <x:c r="B35" s="8" t="str">
        <x:f>IF(B34&gt;=B33,"ĐẠT — mô hình có lãi lành mạnh","CHƯA ĐẠT — phải tăng containment, tăng giá, hoặc đổi biến thể HITL")</x:f>
        <x:v>ĐẠT — mô hình có lãi lành mạnh</x:v>
      </x:c>
    </x:row>
    <x:row r="36" ht="15.75" customHeight="1"/>
    <x:row r="37" ht="15.75" customHeight="1">
      <x:c r="A37" s="7" t="s">
        <x:v>163</x:v>
      </x:c>
      <x:c r="B37" s="10"/>
      <x:c r="C37" s="10"/>
      <x:c r="D37" s="10"/>
      <x:c r="E37" s="10"/>
      <x:c r="F37" s="10"/>
      <x:c r="G37" s="10"/>
      <x:c r="H37" s="10"/>
    </x:row>
    <x:row r="38" ht="15.75" customHeight="1">
      <x:c r="A38" s="27" t="s">
        <x:v>164</x:v>
      </x:c>
      <x:c r="B38" s="27" t="s">
        <x:v>165</x:v>
      </x:c>
      <x:c r="C38" s="27" t="s">
        <x:v>166</x:v>
      </x:c>
      <x:c r="D38" s="27" t="s">
        <x:v>167</x:v>
      </x:c>
    </x:row>
    <x:row r="39" ht="15.75" customHeight="1">
      <x:c r="A39" s="40">
        <x:v>0.5</x:v>
      </x:c>
      <x:c r="B39" s="24" t="n">
        <x:f t="shared" ref="B39:B44" si="1">($B$29+$B$30+$B$31*(1-A39))/A39</x:f>
        <x:v>0.139683</x:v>
      </x:c>
      <x:c r="C39" s="28" t="n">
        <x:f t="shared" ref="C39:C44" si="2">IF($B$19=0,0,1-B39/$B$19)</x:f>
        <x:v>0.7149326530612246</x:v>
      </x:c>
      <x:c r="D39" s="8" t="str">
        <x:f t="shared" ref="D39:D44" si="3">IF(C39&gt;=0.6,"An toàn",IF(C39&gt;=0.5,"Cảnh báo","Nguy hiểm"))</x:f>
        <x:v>An toàn</x:v>
      </x:c>
    </x:row>
    <x:row r="40" ht="15.75" customHeight="1">
      <x:c r="A40" s="40">
        <x:v>0.6</x:v>
      </x:c>
      <x:c r="B40" s="24" t="n">
        <x:f t="shared" si="1">($B$29+$B$30+$B$31*(1-A40))/A40</x:f>
        <x:v>0.1164025</x:v>
      </x:c>
      <x:c r="C40" s="28" t="n">
        <x:f t="shared" si="2">IF($B$19=0,0,1-B40/$B$19)</x:f>
        <x:v>0.7624438775510204</x:v>
      </x:c>
      <x:c r="D40" s="8" t="str">
        <x:f t="shared" si="3">IF(C40&gt;=0.6,"An toàn",IF(C40&gt;=0.5,"Cảnh báo","Nguy hiểm"))</x:f>
        <x:v>An toàn</x:v>
      </x:c>
    </x:row>
    <x:row r="41" ht="15.75" customHeight="1">
      <x:c r="A41" s="40">
        <x:v>0.7</x:v>
      </x:c>
      <x:c r="B41" s="24" t="n">
        <x:f t="shared" si="1">($B$29+$B$30+$B$31*(1-A41))/A41</x:f>
        <x:v>0.09977357142857143</x:v>
      </x:c>
      <x:c r="C41" s="28" t="n">
        <x:f t="shared" si="2">IF($B$19=0,0,1-B41/$B$19)</x:f>
        <x:v>0.7963804664723032</x:v>
      </x:c>
      <x:c r="D41" s="8" t="str">
        <x:f t="shared" si="3">IF(C41&gt;=0.6,"An toàn",IF(C41&gt;=0.5,"Cảnh báo","Nguy hiểm"))</x:f>
        <x:v>An toàn</x:v>
      </x:c>
    </x:row>
    <x:row r="42" ht="15.75" customHeight="1">
      <x:c r="A42" s="40">
        <x:v>0.8</x:v>
      </x:c>
      <x:c r="B42" s="24" t="n">
        <x:f t="shared" si="1">($B$29+$B$30+$B$31*(1-A42))/A42</x:f>
        <x:v>0.087301875</x:v>
      </x:c>
      <x:c r="C42" s="28" t="n">
        <x:f t="shared" si="2">IF($B$19=0,0,1-B42/$B$19)</x:f>
        <x:v>0.8218329081632653</x:v>
      </x:c>
      <x:c r="D42" s="8" t="str">
        <x:f t="shared" si="3">IF(C42&gt;=0.6,"An toàn",IF(C42&gt;=0.5,"Cảnh báo","Nguy hiểm"))</x:f>
        <x:v>An toàn</x:v>
      </x:c>
    </x:row>
    <x:row r="43" ht="15.75" customHeight="1">
      <x:c r="A43" s="40">
        <x:v>0.9</x:v>
      </x:c>
      <x:c r="B43" s="24" t="n">
        <x:f t="shared" si="1">($B$29+$B$30+$B$31*(1-A43))/A43</x:f>
        <x:v>0.07760166666666667</x:v>
      </x:c>
      <x:c r="C43" s="28" t="n">
        <x:f t="shared" si="2">IF($B$19=0,0,1-B43/$B$19)</x:f>
        <x:v>0.8416292517006803</x:v>
      </x:c>
      <x:c r="D43" s="8" t="str">
        <x:f t="shared" si="3">IF(C43&gt;=0.6,"An toàn",IF(C43&gt;=0.5,"Cảnh báo","Nguy hiểm"))</x:f>
        <x:v>An toàn</x:v>
      </x:c>
    </x:row>
    <x:row r="44" ht="15.75" customHeight="1">
      <x:c r="A44" s="40">
        <x:v>0.95</x:v>
      </x:c>
      <x:c r="B44" s="24" t="n">
        <x:f t="shared" si="1">($B$29+$B$30+$B$31*(1-A44))/A44</x:f>
        <x:v>0.07351736842105264</x:v>
      </x:c>
      <x:c r="C44" s="28" t="n">
        <x:f t="shared" si="2">IF($B$19=0,0,1-B44/$B$19)</x:f>
        <x:v>0.8499645542427497</x:v>
      </x:c>
      <x:c r="D44" s="8" t="str">
        <x:f t="shared" si="3">IF(C44&gt;=0.6,"An toàn",IF(C44&gt;=0.5,"Cảnh báo","Nguy hiểm"))</x:f>
        <x:v>An toàn</x:v>
      </x:c>
    </x:row>
    <x:row r="45" ht="15.75" customHeight="1"/>
    <x:row r="46" ht="15.75" customHeight="1">
      <x:c r="A46" s="3" t="s">
        <x:v>168</x:v>
      </x:c>
    </x:row>
    <x:row r="47" ht="15.75" customHeight="1"/>
    <x:row r="48" ht="15.75" customHeight="1">
      <x:c r="A48" s="7" t="s">
        <x:v>169</x:v>
      </x:c>
      <x:c r="B48" s="10"/>
      <x:c r="C48" s="10"/>
      <x:c r="D48" s="10"/>
      <x:c r="E48" s="10"/>
      <x:c r="F48" s="10"/>
      <x:c r="G48" s="10"/>
      <x:c r="H48" s="10"/>
    </x:row>
    <x:row r="49" ht="15.75" customHeight="1">
      <x:c r="A49" s="12" t="s">
        <x:v>165</x:v>
      </x:c>
      <x:c r="B49" s="23" t="n">
        <x:f>B5</x:f>
        <x:v>0.087301875</x:v>
      </x:c>
    </x:row>
    <x:row r="50" ht="15.75" customHeight="1">
      <x:c r="A50" s="12" t="s">
        <x:v>170</x:v>
      </x:c>
      <x:c r="B50" s="23" t="n">
        <x:f>B7</x:f>
        <x:v>0.26190562500000003</x:v>
      </x:c>
    </x:row>
    <x:row r="51" ht="15.75" customHeight="1">
      <x:c r="A51" s="12" t="s">
        <x:v>171</x:v>
      </x:c>
      <x:c r="B51" s="23" t="n">
        <x:f>B19</x:f>
        <x:v>0.49</x:v>
      </x:c>
    </x:row>
    <x:row r="52" ht="15.75" customHeight="1">
      <x:c r="A52" s="12" t="s">
        <x:v>166</x:v>
      </x:c>
      <x:c r="B52" s="31" t="n">
        <x:f>B21</x:f>
        <x:v>0.8218329081632654</x:v>
      </x:c>
    </x:row>
    <x:row r="53" ht="15.75" customHeight="1">
      <x:c r="A53" s="12" t="s">
        <x:v>172</x:v>
      </x:c>
      <x:c r="B53" s="31" t="n">
        <x:f>B33</x:f>
        <x:v>0.35633418367346936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2" customWidth="1"/>
    <x:col min="2" max="2" width="12" customWidth="1"/>
    <x:col min="3" max="3" width="50" customWidth="1"/>
    <x:col min="4" max="4" width="46" customWidth="1"/>
    <x:col min="5" max="8" width="15" customWidth="1"/>
    <x:col min="9" max="26" width="8.710000038146973" customWidth="1"/>
  </x:cols>
  <x:sheetData>
    <x:row r="1" ht="24" customHeight="1">
      <x:c r="A1" s="1" t="s">
        <x:v>173</x:v>
      </x:c>
      <x:c r="B1" s="2"/>
      <x:c r="C1" s="2"/>
      <x:c r="D1" s="2"/>
      <x:c r="E1" s="2"/>
      <x:c r="F1" s="2"/>
      <x:c r="G1" s="2"/>
      <x:c r="H1" s="2"/>
    </x:row>
    <x:row r="2">
      <x:c r="A2" s="3" t="s">
        <x:v>174</x:v>
      </x:c>
    </x:row>
    <x:row r="4">
      <x:c r="A4" s="7" t="s">
        <x:v>175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176</x:v>
      </x:c>
      <x:c r="B5" s="13" t="n">
        <x:v>2</x:v>
      </x:c>
    </x:row>
    <x:row r="6">
      <x:c r="A6" s="14" t="s">
        <x:v>177</x:v>
      </x:c>
      <x:c r="B6" s="13" t="n">
        <x:v>1</x:v>
      </x:c>
    </x:row>
    <x:row r="7">
      <x:c r="A7" s="6" t="s">
        <x:v>178</x:v>
      </x:c>
      <x:c r="B7" s="13" t="n">
        <x:v>0</x:v>
      </x:c>
    </x:row>
    <x:row r="8">
      <x:c r="A8" s="6" t="s">
        <x:v>179</x:v>
      </x:c>
      <x:c r="B8" s="13" t="n">
        <x:v>1</x:v>
      </x:c>
    </x:row>
    <x:row r="9">
      <x:c r="A9" s="6" t="s">
        <x:v>180</x:v>
      </x:c>
      <x:c r="B9" s="13" t="n">
        <x:v>2</x:v>
      </x:c>
    </x:row>
    <x:row r="10">
      <x:c r="A10" s="12" t="s">
        <x:v>181</x:v>
      </x:c>
      <x:c r="B10" s="18" t="n">
        <x:f>SUM(B5:B9)</x:f>
        <x:v>6</x:v>
      </x:c>
    </x:row>
    <x:row r="12">
      <x:c r="A12" s="7" t="s">
        <x:v>182</x:v>
      </x:c>
      <x:c r="B12" s="10"/>
      <x:c r="C12" s="10"/>
      <x:c r="D12" s="10"/>
      <x:c r="E12" s="10"/>
      <x:c r="F12" s="10"/>
      <x:c r="G12" s="10"/>
      <x:c r="H12" s="10"/>
    </x:row>
    <x:row r="13">
      <x:c r="A13" s="6" t="s">
        <x:v>183</x:v>
      </x:c>
      <x:c r="B13" s="13" t="n">
        <x:v>0</x:v>
      </x:c>
    </x:row>
    <x:row r="14">
      <x:c r="A14" s="6" t="s">
        <x:v>184</x:v>
      </x:c>
      <x:c r="B14" s="13" t="n">
        <x:v>2</x:v>
      </x:c>
    </x:row>
    <x:row r="15">
      <x:c r="A15" s="6" t="s">
        <x:v>185</x:v>
      </x:c>
      <x:c r="B15" s="13" t="n">
        <x:v>1</x:v>
      </x:c>
    </x:row>
    <x:row r="16">
      <x:c r="A16" s="6" t="s">
        <x:v>186</x:v>
      </x:c>
      <x:c r="B16" s="13" t="n">
        <x:v>0</x:v>
      </x:c>
    </x:row>
    <x:row r="17">
      <x:c r="A17" s="6" t="s">
        <x:v>187</x:v>
      </x:c>
      <x:c r="B17" s="13" t="n">
        <x:v>2</x:v>
      </x:c>
    </x:row>
    <x:row r="18">
      <x:c r="A18" s="12" t="s">
        <x:v>188</x:v>
      </x:c>
      <x:c r="B18" s="18" t="n">
        <x:f>SUM(B13:B17)</x:f>
        <x:v>5</x:v>
      </x:c>
    </x:row>
    <x:row r="20">
      <x:c r="A20" s="7" t="s">
        <x:v>189</x:v>
      </x:c>
      <x:c r="B20" s="10"/>
      <x:c r="C20" s="10"/>
      <x:c r="D20" s="10"/>
      <x:c r="E20" s="10"/>
      <x:c r="F20" s="10"/>
      <x:c r="G20" s="10"/>
      <x:c r="H20" s="10"/>
    </x:row>
    <x:row r="21" ht="15.75" customHeight="1">
      <x:c r="A21" s="12" t="s">
        <x:v>190</x:v>
      </x:c>
      <x:c r="B21" s="26" t="str">
        <x:f>IF(AND(B10&gt;=7,B18&gt;=7),"OUTCOME",IF(AND(B10&gt;=7,B18&lt;7),"USAGE",IF(AND(B10&lt;7,B18&gt;=7),"USAGE (an toàn)","SEAT hoặc HYBRID")))</x:f>
        <x:v>SEAT hoặc HYBRID</x:v>
      </x:c>
    </x:row>
    <x:row r="22" ht="15.75" customHeight="1">
      <x:c r="A22" s="3" t="s">
        <x:v>191</x:v>
      </x:c>
    </x:row>
    <x:row r="23" ht="15.75" customHeight="1"/>
    <x:row r="24" ht="15.75" customHeight="1">
      <x:c r="A24" s="7" t="s">
        <x:v>192</x:v>
      </x:c>
      <x:c r="B24" s="10"/>
      <x:c r="C24" s="10"/>
      <x:c r="D24" s="10"/>
      <x:c r="E24" s="10"/>
      <x:c r="F24" s="10"/>
      <x:c r="G24" s="10"/>
      <x:c r="H24" s="10"/>
    </x:row>
    <x:row r="25" ht="15.75" customHeight="1">
      <x:c r="A25" s="27" t="s">
        <x:v>193</x:v>
      </x:c>
      <x:c r="B25" s="27" t="s">
        <x:v>194</x:v>
      </x:c>
      <x:c r="C25" s="27" t="s">
        <x:v>195</x:v>
      </x:c>
      <x:c r="D25" s="27" t="s">
        <x:v>196</x:v>
      </x:c>
    </x:row>
    <x:row r="26" ht="15.75" customHeight="1">
      <x:c r="A26" s="5" t="str">
        <x:v>Big Interview</x:v>
      </x:c>
      <x:c r="B26" s="5" t="str">
        <x:v>Seat</x:v>
      </x:c>
      <x:c r="C26" s="5" t="str">
        <x:v>$39/tháng</x:v>
      </x:c>
      <x:c r="D26" s="5" t="str">
        <x:v>https://www.biginterview.com/pricing/personal</x:v>
      </x:c>
    </x:row>
    <x:row r="27" ht="15.75" customHeight="1">
      <x:c r="A27" s="5" t="str">
        <x:v>Yoodli Pro</x:v>
      </x:c>
      <x:c r="B27" s="5" t="str">
        <x:v>Seat</x:v>
      </x:c>
      <x:c r="C27" s="5" t="str">
        <x:v>$8/tháng (trả năm)</x:v>
      </x:c>
      <x:c r="D27" s="5" t="str">
        <x:v>https://yoodli.ai/pricing</x:v>
      </x:c>
    </x:row>
    <x:row r="28" ht="15.75" customHeight="1"/>
    <x:row r="29" ht="15.75" customHeight="1">
      <x:c r="A29" s="7" t="s">
        <x:v>197</x:v>
      </x:c>
      <x:c r="B29" s="10"/>
      <x:c r="C29" s="10"/>
      <x:c r="D29" s="10"/>
      <x:c r="E29" s="10"/>
      <x:c r="F29" s="10"/>
      <x:c r="G29" s="10"/>
      <x:c r="H29" s="10"/>
    </x:row>
    <x:row r="30" ht="15.75" customHeight="1">
      <x:c r="A30" s="6" t="s">
        <x:v>198</x:v>
      </x:c>
      <x:c r="B30" s="5" t="str">
        <x:v>Hybrid</x:v>
      </x:c>
    </x:row>
    <x:row r="31" ht="15.75" customHeight="1">
      <x:c r="A31" s="6" t="s">
        <x:v>199</x:v>
      </x:c>
      <x:c r="B31" s="5" t="str">
        <x:v>Thị trường trường học cần chi phí dự đoán được; outcome-only chưa đủ attribution và autonomy.</x:v>
      </x:c>
    </x:row>
    <x:row r="32" ht="15.75" customHeight="1">
      <x:c r="A32" s="6" t="s">
        <x:v>200</x:v>
      </x:c>
      <x:c r="B32" s="5" t="str">
        <x:v>Gói tối thiểu $199/tháng gồm 160 vòng hoàn tất; vượt gói $0,49/vòng.</x:v>
      </x:c>
    </x:row>
    <x:row r="33" ht="15.75" customHeight="1">
      <x:c r="A33" s="6" t="s">
        <x:v>201</x:v>
      </x:c>
      <x:c r="B33" s="5" t="str">
        <x:v>Attribution 6/10: có log + eval nhưng chưa có pilot/A-B. Autonomy 5/10: SV trả lời từng câu; escalation chưa được đo.</x:v>
      </x:c>
    </x:row>
    <x:row r="34" ht="15.75" customHeight="1">
      <x:c r="A34" s="6" t="s">
        <x:v>202</x:v>
      </x:c>
      <x:c r="B34" s="5" t="str">
        <x:v>Mất tiền nếu usage vượt 160 nhưng không thu overage, hoặc P-131 phải tự xử lý escalation thay cho trường.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</x:cols>
  <x:sheetData>
    <x:row r="1" ht="24" customHeight="1">
      <x:c r="A1" s="1" t="s">
        <x:v>203</x:v>
      </x:c>
      <x:c r="B1" s="2"/>
      <x:c r="C1" s="2"/>
      <x:c r="D1" s="2"/>
      <x:c r="E1" s="2"/>
      <x:c r="F1" s="2"/>
      <x:c r="G1" s="2"/>
      <x:c r="H1" s="2"/>
    </x:row>
    <x:row r="2">
      <x:c r="A2" s="3" t="s">
        <x:v>204</x:v>
      </x:c>
    </x:row>
    <x:row r="4">
      <x:c r="A4" s="7" t="s">
        <x:v>205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206</x:v>
      </x:c>
      <x:c r="B5" s="25" t="n">
        <x:v>199</x:v>
      </x:c>
    </x:row>
    <x:row r="6">
      <x:c r="A6" s="6" t="s">
        <x:v>207</x:v>
      </x:c>
      <x:c r="B6" s="34" t="n">
        <x:f>'2_Pricing'!B21</x:f>
        <x:v>0.8218329081632654</x:v>
      </x:c>
    </x:row>
    <x:row r="7">
      <x:c r="A7" s="6" t="s">
        <x:v>208</x:v>
      </x:c>
      <x:c r="B7" s="13" t="str">
        <x:v>SMB</x:v>
      </x:c>
    </x:row>
    <x:row r="8">
      <x:c r="A8" s="6" t="s">
        <x:v>209</x:v>
      </x:c>
      <x:c r="B8" s="19" t="n">
        <x:f>IF(B7="SMB",12,IF(B7="Mid",18,24))</x:f>
        <x:v>12</x:v>
      </x:c>
      <x:c r="C8" s="3" t="s">
        <x:v>210</x:v>
      </x:c>
      <x:c r="D8" s="3" t="s">
        <x:v>211</x:v>
      </x:c>
    </x:row>
    <x:row r="9">
      <x:c r="A9" s="12" t="s">
        <x:v>212</x:v>
      </x:c>
      <x:c r="B9" s="35" t="n">
        <x:f>B5*B6*B8</x:f>
        <x:v>1962.5369846938777</x:v>
      </x:c>
      <x:c r="D9" s="3" t="s">
        <x:v>213</x:v>
      </x:c>
    </x:row>
    <x:row r="10">
      <x:c r="A10" s="6" t="s">
        <x:v>214</x:v>
      </x:c>
      <x:c r="B10" s="37" t="n">
        <x:f>B5*12</x:f>
        <x:v>2388</x:v>
      </x:c>
    </x:row>
    <x:row r="12">
      <x:c r="A12" s="7" t="s">
        <x:v>215</x:v>
      </x:c>
      <x:c r="B12" s="10"/>
      <x:c r="C12" s="10"/>
      <x:c r="D12" s="10"/>
      <x:c r="E12" s="10"/>
      <x:c r="F12" s="10"/>
      <x:c r="G12" s="10"/>
      <x:c r="H12" s="10"/>
    </x:row>
    <x:row r="13">
      <x:c r="A13" s="6" t="s">
        <x:v>216</x:v>
      </x:c>
      <x:c r="B13" s="25" t="n">
        <x:v>300000</x:v>
      </x:c>
      <x:c r="D13" s="3" t="s">
        <x:v>217</x:v>
      </x:c>
    </x:row>
    <x:row r="14">
      <x:c r="A14" s="6" t="s">
        <x:v>218</x:v>
      </x:c>
      <x:c r="B14" s="15" t="n">
        <x:v>250</x:v>
      </x:c>
      <x:c r="C14" s="3" t="s">
        <x:v>219</x:v>
      </x:c>
    </x:row>
    <x:row r="15">
      <x:c r="A15" s="6" t="s">
        <x:v>220</x:v>
      </x:c>
      <x:c r="B15" s="19" t="n">
        <x:f>IF(B10=0,0,B13/B10)</x:f>
        <x:v>125.62814070351759</x:v>
      </x:c>
    </x:row>
    <x:row r="16">
      <x:c r="A16" s="12" t="s">
        <x:v>221</x:v>
      </x:c>
      <x:c r="B16" s="38" t="n">
        <x:f>IF(B14=0,0,B15/B14)</x:f>
        <x:v>0.5025125628140703</x:v>
      </x:c>
      <x:c r="C16" s="3" t="s">
        <x:v>222</x:v>
      </x:c>
    </x:row>
    <x:row r="17">
      <x:c r="A17" s="6" t="s">
        <x:v>223</x:v>
      </x:c>
      <x:c r="B17" s="8" t="str">
        <x:f>IF(B16&lt;=1,"KHẢ THI về mặt số học","BẤT KHẢ THI — ACV quá thấp để nuôi sales rep")</x:f>
        <x:v>KHẢ THI về mặt số học</x:v>
      </x:c>
    </x:row>
    <x:row r="19">
      <x:c r="A19" s="7" t="s">
        <x:v>224</x:v>
      </x:c>
      <x:c r="B19" s="10"/>
      <x:c r="C19" s="10"/>
      <x:c r="D19" s="10"/>
      <x:c r="E19" s="10"/>
      <x:c r="F19" s="10"/>
      <x:c r="G19" s="10"/>
      <x:c r="H19" s="10"/>
    </x:row>
    <x:row r="20">
      <x:c r="A20" s="6" t="s">
        <x:v>225</x:v>
      </x:c>
      <x:c r="B20" s="25" t="n">
        <x:v>6300</x:v>
      </x:c>
      <x:c r="D20" s="3" t="s">
        <x:v>226</x:v>
      </x:c>
    </x:row>
    <x:row r="21" ht="15.75" customHeight="1">
      <x:c r="A21" s="6" t="s">
        <x:v>227</x:v>
      </x:c>
      <x:c r="B21" s="16" t="n">
        <x:v>0.25</x:v>
      </x:c>
    </x:row>
    <x:row r="22" ht="15.75" customHeight="1">
      <x:c r="A22" s="6" t="s">
        <x:v>228</x:v>
      </x:c>
      <x:c r="B22" s="37" t="n">
        <x:f>IF(B21=0,0,B20/B21)</x:f>
        <x:v>25200</x:v>
      </x:c>
    </x:row>
    <x:row r="23" ht="15.75" customHeight="1">
      <x:c r="A23" s="12" t="s">
        <x:v>229</x:v>
      </x:c>
      <x:c r="B23" s="39" t="n">
        <x:f>IF(B9=0,0,B22/B9)</x:f>
        <x:v>12.840522342528374</x:v>
      </x:c>
      <x:c r="D23" s="3" t="s">
        <x:v>230</x:v>
      </x:c>
    </x:row>
    <x:row r="24" ht="15.75" customHeight="1">
      <x:c r="A24" s="6" t="s">
        <x:v>162</x:v>
      </x:c>
      <x:c r="B24" s="8" t="str">
        <x:f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5" ht="15.75" customHeight="1"/>
    <x:row r="26" ht="15.75" customHeight="1">
      <x:c r="A26" s="7" t="s">
        <x:v>231</x:v>
      </x:c>
      <x:c r="B26" s="10"/>
      <x:c r="C26" s="10"/>
      <x:c r="D26" s="10"/>
      <x:c r="E26" s="10"/>
      <x:c r="F26" s="10"/>
      <x:c r="G26" s="10"/>
      <x:c r="H26" s="10"/>
    </x:row>
    <x:row r="27" ht="15.75" customHeight="1">
      <x:c r="A27" s="27" t="s">
        <x:v>232</x:v>
      </x:c>
      <x:c r="B27" s="27" t="s">
        <x:v>233</x:v>
      </x:c>
      <x:c r="C27" s="27" t="s">
        <x:v>234</x:v>
      </x:c>
      <x:c r="D27" s="27" t="s">
        <x:v>235</x:v>
      </x:c>
    </x:row>
    <x:row r="28" ht="15.75" customHeight="1">
      <x:c r="A28" s="6" t="s">
        <x:v>236</x:v>
      </x:c>
      <x:c r="B28" s="13" t="n">
        <x:v>2</x:v>
      </x:c>
      <x:c r="C28" s="13" t="n">
        <x:v>2</x:v>
      </x:c>
      <x:c r="D28" s="13" t="n">
        <x:v>4</x:v>
      </x:c>
    </x:row>
    <x:row r="29" ht="15.75" customHeight="1">
      <x:c r="A29" s="6" t="s">
        <x:v>237</x:v>
      </x:c>
      <x:c r="B29" s="13" t="n">
        <x:v>2</x:v>
      </x:c>
      <x:c r="C29" s="13" t="n">
        <x:v>3</x:v>
      </x:c>
      <x:c r="D29" s="13" t="n">
        <x:v>4</x:v>
      </x:c>
    </x:row>
    <x:row r="30" ht="15.75" customHeight="1">
      <x:c r="A30" s="6" t="s">
        <x:v>238</x:v>
      </x:c>
      <x:c r="B30" s="13" t="n">
        <x:v>3</x:v>
      </x:c>
      <x:c r="C30" s="13" t="n">
        <x:v>2</x:v>
      </x:c>
      <x:c r="D30" s="13" t="n">
        <x:v>3</x:v>
      </x:c>
    </x:row>
    <x:row r="31" ht="15.75" customHeight="1">
      <x:c r="A31" s="6" t="s">
        <x:v>239</x:v>
      </x:c>
      <x:c r="B31" s="13" t="n">
        <x:v>1</x:v>
      </x:c>
      <x:c r="C31" s="13" t="n">
        <x:v>2</x:v>
      </x:c>
      <x:c r="D31" s="13" t="n">
        <x:v>3</x:v>
      </x:c>
    </x:row>
    <x:row r="32" ht="15.75" customHeight="1">
      <x:c r="A32" s="6" t="s">
        <x:v>240</x:v>
      </x:c>
      <x:c r="B32" s="13" t="n">
        <x:v>3</x:v>
      </x:c>
      <x:c r="C32" s="13" t="n">
        <x:v>3</x:v>
      </x:c>
      <x:c r="D32" s="13" t="n">
        <x:v>5</x:v>
      </x:c>
    </x:row>
    <x:row r="33" ht="15.75" customHeight="1">
      <x:c r="A33" s="6" t="s">
        <x:v>241</x:v>
      </x:c>
      <x:c r="B33" s="13" t="n">
        <x:v>4</x:v>
      </x:c>
      <x:c r="C33" s="13" t="n">
        <x:v>3</x:v>
      </x:c>
      <x:c r="D33" s="13" t="n">
        <x:v>4</x:v>
      </x:c>
    </x:row>
    <x:row r="34" ht="15.75" customHeight="1">
      <x:c r="A34" s="12" t="s">
        <x:v>242</x:v>
      </x:c>
      <x:c r="B34" s="26" t="n">
        <x:f t="shared" ref="B34:D34" si="1">SUM(B28:B33)</x:f>
        <x:v>15</x:v>
      </x:c>
      <x:c r="C34" s="26" t="n">
        <x:f t="shared" si="1">SUM(C28:C33)</x:f>
        <x:v>15</x:v>
      </x:c>
      <x:c r="D34" s="26" t="n">
        <x:f t="shared" si="1">SUM(D28:D33)</x:f>
        <x:v>23</x:v>
      </x:c>
    </x:row>
    <x:row r="35" ht="15.75" customHeight="1">
      <x:c r="A35" s="12" t="s">
        <x:v>243</x:v>
      </x:c>
      <x:c r="B35" s="26" t="str">
        <x:f>IF(AND(B34&gt;=C34,B34&gt;=D34),"PLG",IF(C34&gt;=D34,"Sales-Led","Partner-Led"))</x:f>
        <x:v>Partner-Led</x:v>
      </x:c>
    </x:row>
    <x:row r="36" ht="15.75" customHeight="1"/>
    <x:row r="37" ht="15.75" customHeight="1">
      <x:c r="A37" s="7" t="s">
        <x:v>244</x:v>
      </x:c>
      <x:c r="B37" s="10"/>
      <x:c r="C37" s="10"/>
      <x:c r="D37" s="10"/>
      <x:c r="E37" s="10"/>
      <x:c r="F37" s="10"/>
      <x:c r="G37" s="10"/>
      <x:c r="H37" s="10"/>
    </x:row>
    <x:row r="38" ht="15.75" customHeight="1">
      <x:c r="A38" s="6" t="s">
        <x:v>245</x:v>
      </x:c>
      <x:c r="B38" s="5" t="str">
        <x:v>Partner-Led</x:v>
      </x:c>
      <x:c r="D38" s="3" t="s">
        <x:v>246</x:v>
      </x:c>
    </x:row>
    <x:row r="39" ht="15.75" customHeight="1">
      <x:c r="A39" s="6" t="s">
        <x:v>247</x:v>
      </x:c>
      <x:c r="B39" s="5" t="str">
        <x:v>TopCV</x:v>
      </x:c>
      <x:c r="D39" s="3" t="s">
        <x:v>248</x:v>
      </x:c>
    </x:row>
    <x:row r="40" ht="15.75" customHeight="1">
      <x:c r="A40" s="6" t="s">
        <x:v>249</x:v>
      </x:c>
      <x:c r="B40" s="5" t="str">
        <x:v>Chưa</x:v>
      </x:c>
    </x:row>
    <x:row r="41" ht="15.75" customHeight="1">
      <x:c r="A41" s="6" t="s">
        <x:v>250</x:v>
      </x:c>
      <x:c r="B41" s="5" t="str">
        <x:v>Tăng chất lượng hồ sơ và mức sẵn sàng phỏng vấn của ứng viên ngay trong luồng tìm việc.</x:v>
      </x:c>
    </x:row>
    <x:row r="42" ht="15.75" customHeight="1">
      <x:c r="A42" s="6" t="s">
        <x:v>251</x:v>
      </x:c>
      <x:c r="B42" s="5" t="str">
        <x:v>14 ngày: proposal + demo TopCV; không có discovery call → pilot 1 Career Center.</x:v>
      </x:c>
      <x:c r="D42" s="3" t="s">
        <x:v>252</x:v>
      </x:c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7">
      <x:formula1>"SMB,Mid,Enterprise"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4" width="34" customWidth="1"/>
    <x:col min="5" max="8" width="15" customWidth="1"/>
    <x:col min="9" max="26" width="8.710000038146973" customWidth="1"/>
  </x:cols>
  <x:sheetData>
    <x:row r="1" ht="24" customHeight="1">
      <x:c r="A1" s="1" t="s">
        <x:v>253</x:v>
      </x:c>
      <x:c r="B1" s="2"/>
      <x:c r="C1" s="2"/>
      <x:c r="D1" s="2"/>
      <x:c r="E1" s="2"/>
      <x:c r="F1" s="2"/>
      <x:c r="G1" s="2"/>
      <x:c r="H1" s="2"/>
    </x:row>
    <x:row r="2">
      <x:c r="A2" s="3" t="s">
        <x:v>254</x:v>
      </x:c>
    </x:row>
    <x:row r="4">
      <x:c r="A4" s="7" t="s">
        <x:v>255</x:v>
      </x:c>
      <x:c r="B4" s="10"/>
      <x:c r="C4" s="10"/>
      <x:c r="D4" s="10"/>
      <x:c r="E4" s="10"/>
      <x:c r="F4" s="10"/>
      <x:c r="G4" s="10"/>
      <x:c r="H4" s="10"/>
    </x:row>
    <x:row r="5">
      <x:c r="A5" s="6" t="s">
        <x:v>256</x:v>
      </x:c>
      <x:c r="B5" s="5" t="str">
        <x:v>21:00, trước hạn nộp hồ sơ hoặc lịch phỏng vấn 1–3 ngày</x:v>
      </x:c>
    </x:row>
    <x:row r="6">
      <x:c r="A6" s="6" t="s">
        <x:v>257</x:v>
      </x:c>
      <x:c r="B6" s="5" t="str">
        <x:v>Đọc JD, đối chiếu CV và luyện câu trả lời STAR</x:v>
      </x:c>
    </x:row>
    <x:row r="7">
      <x:c r="A7" s="6" t="s">
        <x:v>258</x:v>
      </x:c>
      <x:c r="B7" s="5" t="str">
        <x:v>TopCV (trang việc làm/luồng ứng tuyển) + email/LMS của trường</x:v>
      </x:c>
    </x:row>
    <x:row r="8">
      <x:c r="A8" s="6" t="s">
        <x:v>259</x:v>
      </x:c>
      <x:c r="B8" s="5" t="str">
        <x:v>Widget/deep-link tại trang việc làm TopCV; fallback là link trong cổng Career Center</x:v>
      </x:c>
      <x:c r="D8" s="3" t="s">
        <x:v>260</x:v>
      </x:c>
    </x:row>
    <x:row r="10">
      <x:c r="A10" s="7" t="s">
        <x:v>261</x:v>
      </x:c>
      <x:c r="B10" s="10"/>
      <x:c r="C10" s="10"/>
      <x:c r="D10" s="10"/>
      <x:c r="E10" s="10"/>
      <x:c r="F10" s="10"/>
      <x:c r="G10" s="10"/>
      <x:c r="H10" s="10"/>
    </x:row>
    <x:row r="11">
      <x:c r="A11" s="27"/>
      <x:c r="B11" s="27" t="s">
        <x:v>262</x:v>
      </x:c>
      <x:c r="C11" s="27" t="s">
        <x:v>263</x:v>
      </x:c>
      <x:c r="D11" s="27" t="s">
        <x:v>264</x:v>
      </x:c>
    </x:row>
    <x:row r="12" ht="30" customHeight="1">
      <x:c r="A12" s="6" t="s">
        <x:v>265</x:v>
      </x:c>
      <x:c r="B12" s="41" t="str">
        <x:v>Partner-Led: TopCV</x:v>
      </x:c>
      <x:c r="C12" s="41" t="str">
        <x:v>TopCV pilot + 1 Career Center</x:v>
      </x:c>
      <x:c r="D12" s="41" t="str">
        <x:v>Mở rộng 3–5 Career Center</x:v>
      </x:c>
    </x:row>
    <x:row r="13" ht="30" customHeight="1">
      <x:c r="A13" s="6" t="s">
        <x:v>266</x:v>
      </x:c>
      <x:c r="B13" s="41" t="str">
        <x:v>1 partner candidate + 30 SV</x:v>
      </x:c>
      <x:c r="C13" s="41" t="str">
        <x:v>1 pilot / 100 SV</x:v>
      </x:c>
      <x:c r="D13" s="41" t="str">
        <x:v>3 hợp đồng / 500 SV active</x:v>
      </x:c>
    </x:row>
    <x:row r="14" ht="30" customHeight="1">
      <x:c r="A14" s="6" t="s">
        <x:v>267</x:v>
      </x:c>
      <x:c r="B14" s="41" t="str">
        <x:v>Gửi proposal + demo; phỏng vấn 5 cố vấn, 10 SV</x:v>
      </x:c>
      <x:c r="C14" s="41" t="str">
        <x:v>Chạy pilot có consent và RBAC</x:v>
      </x:c>
      <x:c r="D14" s="41" t="str">
        <x:v>Chuẩn hoá onboarding và DPA</x:v>
      </x:c>
    </x:row>
    <x:row r="15" ht="30" customHeight="1">
      <x:c r="A15" s="6" t="s">
        <x:v>268</x:v>
      </x:c>
      <x:c r="B15" s="41" t="str">
        <x:v>Instrument started/completed/escalated</x:v>
      </x:c>
      <x:c r="C15" s="41" t="str">
        <x:v>Đo funnel từ TopCV/Career Center</x:v>
      </x:c>
      <x:c r="D15" s="41" t="str">
        <x:v>Dashboard cohort tự phục vụ</x:v>
      </x:c>
    </x:row>
    <x:row r="16" ht="30" customHeight="1">
      <x:c r="A16" s="6" t="s">
        <x:v>269</x:v>
      </x:c>
      <x:c r="B16" s="41" t="str">
        <x:v>Rerun 5 eval case bằng LLM thật</x:v>
      </x:c>
      <x:c r="C16" s="41" t="str">
        <x:v>Đo usage, CSAT, score delta, containment</x:v>
      </x:c>
      <x:c r="D16" s="41" t="str">
        <x:v>Case study ẩn danh + referral</x:v>
      </x:c>
    </x:row>
    <x:row r="17" ht="30" customHeight="1">
      <x:c r="A17" s="6" t="s">
        <x:v>270</x:v>
      </x:c>
      <x:c r="B17" s="41" t="str">
        <x:v>Có discovery call trong 14 ngày; ≥30 SV mời</x:v>
      </x:c>
      <x:c r="C17" s="41" t="str">
        <x:v>≥60% active; CSAT ≥4/5; containment ≥80%</x:v>
      </x:c>
      <x:c r="D17" s="41" t="str">
        <x:v>3 hợp đồng; CAC payback &lt;12 tháng</x:v>
      </x:c>
    </x:row>
    <x:row r="18" ht="30" customHeight="1">
      <x:c r="A18" s="6" t="s">
        <x:v>271</x:v>
      </x:c>
      <x:c r="B18" s="41" t="str">
        <x:v>Đào Trọng Khang + Product lead</x:v>
      </x:c>
      <x:c r="C18" s="41" t="str">
        <x:v>Pilot lead + cố vấn Career Center</x:v>
      </x:c>
      <x:c r="D18" s="41" t="str">
        <x:v>Founder/GTM + Customer Success</x:v>
      </x:c>
    </x:row>
    <x:row r="19">
      <x:c r="A19" s="3" t="s">
        <x:v>272</x:v>
      </x:c>
    </x:row>
    <x:row r="21" ht="15.75" customHeight="1">
      <x:c r="A21" s="7" t="s">
        <x:v>273</x:v>
      </x:c>
      <x:c r="B21" s="10"/>
      <x:c r="C21" s="10"/>
      <x:c r="D21" s="10"/>
      <x:c r="E21" s="10"/>
      <x:c r="F21" s="10"/>
      <x:c r="G21" s="10"/>
      <x:c r="H21" s="10"/>
    </x:row>
    <x:row r="22" ht="15.75" customHeight="1">
      <x:c r="A22" s="27" t="s">
        <x:v>274</x:v>
      </x:c>
      <x:c r="B22" s="27" t="s">
        <x:v>275</x:v>
      </x:c>
      <x:c r="C22" s="27" t="s">
        <x:v>276</x:v>
      </x:c>
      <x:c r="D22" s="27" t="s">
        <x:v>277</x:v>
      </x:c>
    </x:row>
    <x:row r="23" ht="33.75" customHeight="1">
      <x:c r="A23" s="14" t="s">
        <x:v>278</x:v>
      </x:c>
      <x:c r="B23" s="41" t="str">
        <x:v>Rồi (giới hạn)</x:v>
      </x:c>
      <x:c r="C23" s="41" t="str">
        <x:v>5 case: 60% PASS, 20% PARTIAL, 20% FAIL; 0 LLM call thành công; chưa phải production evidence</x:v>
      </x:c>
      <x:c r="D23" s="41" t="str">
        <x:v>AI/Eval owner · rerun 31/10/2026</x:v>
      </x:c>
    </x:row>
    <x:row r="24" ht="33.75" customHeight="1">
      <x:c r="A24" s="14" t="str">
        <x:v>2. Procurement Q&amp;A</x:v>
      </x:c>
      <x:c r="B24" s="41" t="str">
        <x:v>Chưa</x:v>
      </x:c>
      <x:c r="C24" s="41" t="str">
        <x:v>Viết câu trả lời: hallucination/escalation; data có train không; export/xoá dữ liệu khi vendor ngừng hoạt động</x:v>
      </x:c>
      <x:c r="D24" s="41" t="str">
        <x:v>Security + Product · 07/11/2026</x:v>
      </x:c>
    </x:row>
    <x:row r="25" ht="33.75" customHeight="1">
      <x:c r="A25" s="6" t="s">
        <x:v>279</x:v>
      </x:c>
      <x:c r="B25" s="41" t="str">
        <x:v>Chưa</x:v>
      </x:c>
      <x:c r="C25" s="41" t="str">
        <x:v>Pilot 4 tuần/30–50 SV: attempts, completed, containment, CSAT, score delta, advisor minutes</x:v>
      </x:c>
      <x:c r="D25" s="41" t="str">
        <x:v>Pilot lead · bắt đầu 15/11, báo cáo 15/12/2026</x:v>
      </x:c>
    </x:row>
    <x:row r="26" ht="15.75" customHeight="1">
      <x:c r="A26" s="3" t="s">
        <x:v>280</x:v>
      </x:c>
    </x:row>
    <x:row r="27" ht="15.75" customHeight="1"/>
    <x:row r="28" ht="15.75" customHeight="1">
      <x:c r="A28" s="7" t="s">
        <x:v>281</x:v>
      </x:c>
      <x:c r="B28" s="10"/>
      <x:c r="C28" s="10"/>
      <x:c r="D28" s="10"/>
      <x:c r="E28" s="10"/>
      <x:c r="F28" s="10"/>
      <x:c r="G28" s="10"/>
      <x:c r="H28" s="10"/>
    </x:row>
    <x:row r="29" ht="15.75" customHeight="1">
      <x:c r="A29" s="6" t="s">
        <x:v>282</x:v>
      </x:c>
      <x:c r="B29" s="5" t="str">
        <x:v>Được</x:v>
      </x:c>
    </x:row>
    <x:row r="30" ht="15.75" customHeight="1">
      <x:c r="A30" s="6" t="s">
        <x:v>283</x:v>
      </x:c>
      <x:c r="B30" s="5" t="str">
        <x:v>Được</x:v>
      </x:c>
    </x:row>
    <x:row r="31" ht="15.75" customHeight="1">
      <x:c r="A31" s="6" t="s">
        <x:v>284</x:v>
      </x:c>
      <x:c r="B31" s="5" t="str">
        <x:v>Được</x:v>
      </x:c>
    </x:row>
    <x:row r="32" ht="15.75" customHeight="1">
      <x:c r="A32" s="6" t="s">
        <x:v>285</x:v>
      </x:c>
      <x:c r="B32" s="5" t="n">
        <x:v>2</x:v>
      </x:c>
    </x:row>
    <x:row r="33" ht="15.75" customHeight="1"/>
    <x:row r="34" ht="15.75" customHeight="1">
      <x:c r="A34" t="str">
        <x:v>E. PROMPT REVIEW — ACCEPT / REJECT / PARTIAL</x:v>
      </x:c>
      <x:c r="B34"/>
      <x:c r="C34"/>
      <x:c r="D34"/>
    </x:row>
    <x:row r="35" ht="15.75" customHeight="1">
      <x:c r="A35" t="str">
        <x:v>Prompt 4.7.1 — Cost/Job Stress Test</x:v>
      </x:c>
      <x:c r="B35" t="str">
        <x:v>ACCEPT</x:v>
      </x:c>
      <x:c r="C35" t="str">
        <x:v>Dùng completed denominator; thêm list-price stress; người chịu escalation là biến số giết mô hình</x:v>
      </x:c>
      <x:c r="D35" t="str">
        <x:v>Đã phản ánh Tab 1–2 + One-Pager</x:v>
      </x:c>
    </x:row>
    <x:row r="36" ht="15.75" customHeight="1">
      <x:c r="A36" t="str">
        <x:v>Prompt 4.7.3 — Channel Reality Check</x:v>
      </x:c>
      <x:c r="B36" t="str">
        <x:v>PARTIAL</x:v>
      </x:c>
      <x:c r="C36" t="str">
        <x:v>Giữ Partner-Led nhưng phải có incentive TopCV + phép thử 14 ngày; fallback 1 Career Center</x:v>
      </x:c>
      <x:c r="D36" t="str">
        <x:v>Đã phản ánh Tab 4–5 + One-Pager</x:v>
      </x:c>
    </x:row>
    <x:row r="37" ht="15.75" customHeight="1">
      <x:c r="A37" t="str">
        <x:v>Prompt 4.7.5 — Defensibility Check</x:v>
      </x:c>
      <x:c r="B37" t="str">
        <x:v>REJECT outcome-only</x:v>
      </x:c>
      <x:c r="C37" t="str">
        <x:v>Attribution 6/10 và Autonomy 5/10 chưa đủ; giữ Hybrid minimum commitment</x:v>
      </x:c>
      <x:c r="D37" t="str">
        <x:v>Đã phản ánh Tab 3 + One-Pager</x:v>
      </x:c>
    </x:row>
    <x:row r="38" ht="15.75" customHeight="1"/>
    <x:row r="39" ht="15.75" customHeight="1">
      <x:c r="A39" t="str">
        <x:v>F. CHECKPOINT 1 — NGÂN SÁCH &amp; JOB</x:v>
      </x:c>
      <x:c r="B39"/>
      <x:c r="C39"/>
      <x:c r="D39"/>
    </x:row>
    <x:row r="40" ht="15.75" customHeight="1">
      <x:c r="A40" t="str">
        <x:v>1 câu định vị đã chọn</x:v>
      </x:c>
      <x:c r="B40" t="str">
        <x:v>Xử lý 160 vòng mock interview STAR hoàn tất/tháng để Career Center hỗ trợ nhiều SV hơn mà không tăng tương ứng giờ tư vấn 1-1.</x:v>
      </x:c>
      <x:c r="C40"/>
      <x:c r="D40"/>
    </x:row>
    <x:row r="41" ht="15.75" customHeight="1">
      <x:c r="A41" t="str">
        <x:v>Ngân sách + người ký duyệt</x:v>
      </x:c>
      <x:c r="B41" t="str">
        <x:v>Operations — Giám đốc/Trưởng Career Center hoặc Student Affairs</x:v>
      </x:c>
      <x:c r="C41"/>
      <x:c r="D41"/>
    </x:row>
    <x:row r="42" ht="15.75" customHeight="1">
      <x:c r="A42" t="str">
        <x:v>Định nghĩa Job</x:v>
      </x:c>
      <x:c r="B42" t="str">
        <x:v>Đủ 4 câu + 4 điểm + báo cáo; không tính bỏ dở, lỗi hoặc escalate</x:v>
      </x:c>
      <x:c r="C42"/>
      <x:c r="D42"/>
    </x:row>
    <x:row r="43" ht="15.75" customHeight="1">
      <x:c r="A43" t="str">
        <x:v>Kiểm tra</x:v>
      </x:c>
      <x:c r="B43" t="str">
        <x:v>Khách coi là giá trị: Có · Đếm tự động: Có · Định nghĩa billable chặt: Có</x:v>
      </x:c>
      <x:c r="C43"/>
      <x:c r="D43" t="s">
        <x:v>260</x:v>
      </x:c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0" customWidth="1"/>
    <x:col min="3" max="3" width="20" customWidth="1"/>
    <x:col min="4" max="4" width="16" customWidth="1"/>
    <x:col min="5" max="5" width="56" customWidth="1"/>
    <x:col min="6" max="8" width="15" customWidth="1"/>
    <x:col min="9" max="26" width="8.710000038146973" customWidth="1"/>
  </x:cols>
  <x:sheetData>
    <x:row r="1" ht="24" customHeight="1">
      <x:c r="A1" s="1" t="s">
        <x:v>286</x:v>
      </x:c>
      <x:c r="B1" s="2"/>
      <x:c r="C1" s="2"/>
      <x:c r="D1" s="2"/>
      <x:c r="E1" s="2"/>
      <x:c r="F1" s="2"/>
      <x:c r="G1" s="2"/>
      <x:c r="H1" s="2"/>
    </x:row>
    <x:row r="2">
      <x:c r="A2" s="3" t="s">
        <x:v>287</x:v>
      </x:c>
    </x:row>
    <x:row r="3">
      <x:c r="A3" s="6" t="s">
        <x:v>288</x:v>
      </x:c>
      <x:c r="B3" s="5"/>
      <x:c r="D3" s="3" t="str">
        <x:v>08/10/2026</x:v>
      </x:c>
    </x:row>
    <x:row r="5">
      <x:c r="A5" s="42" t="s">
        <x:v>289</x:v>
      </x:c>
      <x:c r="B5" s="42" t="s">
        <x:v>290</x:v>
      </x:c>
      <x:c r="C5" s="42" t="s">
        <x:v>291</x:v>
      </x:c>
      <x:c r="D5" s="42" t="s">
        <x:v>292</x:v>
      </x:c>
      <x:c r="E5" s="42" t="s">
        <x:v>293</x:v>
      </x:c>
    </x:row>
    <x:row r="6">
      <x:c r="A6" s="43" t="s">
        <x:v>119</x:v>
      </x:c>
      <x:c r="B6" s="43" t="s">
        <x:v>294</x:v>
      </x:c>
      <x:c r="C6" s="43" t="s">
        <x:v>295</x:v>
      </x:c>
      <x:c r="D6" s="43" t="s">
        <x:v>296</x:v>
      </x:c>
      <x:c r="E6" s="44" t="s">
        <x:v>297</x:v>
      </x:c>
    </x:row>
    <x:row r="7">
      <x:c r="A7" s="43" t="s">
        <x:v>119</x:v>
      </x:c>
      <x:c r="B7" s="43" t="s">
        <x:v>298</x:v>
      </x:c>
      <x:c r="C7" s="43" t="s">
        <x:v>299</x:v>
      </x:c>
      <x:c r="D7" s="43" t="s">
        <x:v>296</x:v>
      </x:c>
      <x:c r="E7" s="44" t="s">
        <x:v>297</x:v>
      </x:c>
    </x:row>
    <x:row r="8">
      <x:c r="A8" s="43" t="s">
        <x:v>119</x:v>
      </x:c>
      <x:c r="B8" s="43" t="s">
        <x:v>300</x:v>
      </x:c>
      <x:c r="C8" s="43" t="s">
        <x:v>301</x:v>
      </x:c>
      <x:c r="D8" s="43" t="s">
        <x:v>296</x:v>
      </x:c>
      <x:c r="E8" s="44" t="s">
        <x:v>297</x:v>
      </x:c>
    </x:row>
    <x:row r="9">
      <x:c r="A9" s="43" t="s">
        <x:v>119</x:v>
      </x:c>
      <x:c r="B9" s="43" t="s">
        <x:v>302</x:v>
      </x:c>
      <x:c r="C9" s="43" t="s">
        <x:v>303</x:v>
      </x:c>
      <x:c r="D9" s="43" t="s">
        <x:v>304</x:v>
      </x:c>
      <x:c r="E9" s="44" t="s">
        <x:v>297</x:v>
      </x:c>
    </x:row>
    <x:row r="10">
      <x:c r="A10" s="43" t="s">
        <x:v>119</x:v>
      </x:c>
      <x:c r="B10" s="43" t="s">
        <x:v>305</x:v>
      </x:c>
      <x:c r="C10" s="43" t="s">
        <x:v>306</x:v>
      </x:c>
      <x:c r="D10" s="43" t="s">
        <x:v>296</x:v>
      </x:c>
      <x:c r="E10" s="44" t="s">
        <x:v>307</x:v>
      </x:c>
    </x:row>
    <x:row r="11">
      <x:c r="A11" s="43" t="s">
        <x:v>119</x:v>
      </x:c>
      <x:c r="B11" s="43" t="s">
        <x:v>308</x:v>
      </x:c>
      <x:c r="C11" s="43" t="s">
        <x:v>309</x:v>
      </x:c>
      <x:c r="D11" s="43" t="s">
        <x:v>296</x:v>
      </x:c>
      <x:c r="E11" s="44" t="s">
        <x:v>310</x:v>
      </x:c>
    </x:row>
    <x:row r="12">
      <x:c r="A12" s="43" t="s">
        <x:v>119</x:v>
      </x:c>
      <x:c r="B12" s="43" t="s">
        <x:v>311</x:v>
      </x:c>
      <x:c r="C12" s="43" t="s">
        <x:v>312</x:v>
      </x:c>
      <x:c r="D12" s="43" t="s">
        <x:v>304</x:v>
      </x:c>
      <x:c r="E12" s="44" t="s">
        <x:v>310</x:v>
      </x:c>
    </x:row>
    <x:row r="13">
      <x:c r="A13" s="43" t="s">
        <x:v>119</x:v>
      </x:c>
      <x:c r="B13" s="43" t="s">
        <x:v>313</x:v>
      </x:c>
      <x:c r="C13" s="43" t="s">
        <x:v>314</x:v>
      </x:c>
      <x:c r="D13" s="43" t="s">
        <x:v>296</x:v>
      </x:c>
      <x:c r="E13" s="44" t="s">
        <x:v>315</x:v>
      </x:c>
    </x:row>
    <x:row r="14">
      <x:c r="A14" s="43" t="s">
        <x:v>119</x:v>
      </x:c>
      <x:c r="B14" s="43" t="s">
        <x:v>316</x:v>
      </x:c>
      <x:c r="C14" s="43" t="s">
        <x:v>317</x:v>
      </x:c>
      <x:c r="D14" s="43" t="s">
        <x:v>296</x:v>
      </x:c>
      <x:c r="E14" s="44" t="s">
        <x:v>318</x:v>
      </x:c>
    </x:row>
    <x:row r="15">
      <x:c r="A15" s="43" t="s">
        <x:v>319</x:v>
      </x:c>
      <x:c r="B15" s="43" t="s">
        <x:v>320</x:v>
      </x:c>
      <x:c r="C15" s="43" t="s">
        <x:v>321</x:v>
      </x:c>
      <x:c r="D15" s="43" t="s">
        <x:v>322</x:v>
      </x:c>
      <x:c r="E15" s="44" t="s">
        <x:v>323</x:v>
      </x:c>
    </x:row>
    <x:row r="16">
      <x:c r="A16" s="43" t="s">
        <x:v>319</x:v>
      </x:c>
      <x:c r="B16" s="43" t="s">
        <x:v>324</x:v>
      </x:c>
      <x:c r="C16" s="43" t="s">
        <x:v>325</x:v>
      </x:c>
      <x:c r="D16" s="43" t="s">
        <x:v>322</x:v>
      </x:c>
      <x:c r="E16" s="44" t="s">
        <x:v>326</x:v>
      </x:c>
    </x:row>
    <x:row r="17">
      <x:c r="A17" s="43" t="s">
        <x:v>319</x:v>
      </x:c>
      <x:c r="B17" s="43" t="s">
        <x:v>327</x:v>
      </x:c>
      <x:c r="C17" s="43" t="s">
        <x:v>328</x:v>
      </x:c>
      <x:c r="D17" s="43" t="s">
        <x:v>322</x:v>
      </x:c>
      <x:c r="E17" s="44" t="s">
        <x:v>329</x:v>
      </x:c>
    </x:row>
    <x:row r="18">
      <x:c r="A18" s="43" t="s">
        <x:v>319</x:v>
      </x:c>
      <x:c r="B18" s="43" t="s">
        <x:v>330</x:v>
      </x:c>
      <x:c r="C18" s="43" t="s">
        <x:v>331</x:v>
      </x:c>
      <x:c r="D18" s="43" t="s">
        <x:v>322</x:v>
      </x:c>
      <x:c r="E18" s="44" t="s">
        <x:v>310</x:v>
      </x:c>
    </x:row>
    <x:row r="19">
      <x:c r="A19" s="43" t="s">
        <x:v>332</x:v>
      </x:c>
      <x:c r="B19" s="43" t="s">
        <x:v>333</x:v>
      </x:c>
      <x:c r="C19" s="43" t="s">
        <x:v>334</x:v>
      </x:c>
      <x:c r="D19" s="43" t="s">
        <x:v>335</x:v>
      </x:c>
      <x:c r="E19" s="44" t="s">
        <x:v>336</x:v>
      </x:c>
    </x:row>
    <x:row r="20">
      <x:c r="A20" s="43" t="s">
        <x:v>332</x:v>
      </x:c>
      <x:c r="B20" s="43" t="s">
        <x:v>337</x:v>
      </x:c>
      <x:c r="C20" s="43" t="s">
        <x:v>338</x:v>
      </x:c>
      <x:c r="D20" s="43" t="s">
        <x:v>335</x:v>
      </x:c>
      <x:c r="E20" s="44" t="s">
        <x:v>310</x:v>
      </x:c>
    </x:row>
    <x:row r="21" ht="15.75" customHeight="1">
      <x:c r="A21" s="43" t="s">
        <x:v>332</x:v>
      </x:c>
      <x:c r="B21" s="43" t="s">
        <x:v>339</x:v>
      </x:c>
      <x:c r="C21" s="43" t="s">
        <x:v>340</x:v>
      </x:c>
      <x:c r="D21" s="43" t="s">
        <x:v>335</x:v>
      </x:c>
      <x:c r="E21" s="44" t="s">
        <x:v>341</x:v>
      </x:c>
    </x:row>
    <x:row r="22" ht="15.75" customHeight="1">
      <x:c r="A22" s="43" t="s">
        <x:v>332</x:v>
      </x:c>
      <x:c r="B22" s="43" t="s">
        <x:v>342</x:v>
      </x:c>
      <x:c r="C22" s="43" t="s">
        <x:v>343</x:v>
      </x:c>
      <x:c r="D22" s="43" t="s">
        <x:v>335</x:v>
      </x:c>
      <x:c r="E22" s="44" t="s">
        <x:v>341</x:v>
      </x:c>
    </x:row>
    <x:row r="23" ht="15.75" customHeight="1">
      <x:c r="A23" s="43" t="s">
        <x:v>344</x:v>
      </x:c>
      <x:c r="B23" s="43" t="s">
        <x:v>345</x:v>
      </x:c>
      <x:c r="C23" s="43" t="s">
        <x:v>346</x:v>
      </x:c>
      <x:c r="D23" s="43" t="s">
        <x:v>347</x:v>
      </x:c>
      <x:c r="E23" s="44" t="s">
        <x:v>348</x:v>
      </x:c>
    </x:row>
    <x:row r="24" ht="15.75" customHeight="1">
      <x:c r="A24" s="43" t="s">
        <x:v>349</x:v>
      </x:c>
      <x:c r="B24" s="43" t="s">
        <x:v>350</x:v>
      </x:c>
      <x:c r="C24" s="43" t="s">
        <x:v>351</x:v>
      </x:c>
      <x:c r="D24" s="43" t="s">
        <x:v>352</x:v>
      </x:c>
      <x:c r="E24" s="44" t="s">
        <x:v>353</x:v>
      </x:c>
    </x:row>
    <x:row r="25" ht="15.75" customHeight="1">
      <x:c r="A25" s="43" t="s">
        <x:v>349</x:v>
      </x:c>
      <x:c r="B25" s="43" t="s">
        <x:v>354</x:v>
      </x:c>
      <x:c r="C25" s="43" t="s">
        <x:v>355</x:v>
      </x:c>
      <x:c r="D25" s="43" t="s">
        <x:v>352</x:v>
      </x:c>
      <x:c r="E25" s="44" t="s">
        <x:v>356</x:v>
      </x:c>
    </x:row>
    <x:row r="26" ht="15.75" customHeight="1">
      <x:c r="A26" s="43" t="s">
        <x:v>349</x:v>
      </x:c>
      <x:c r="B26" s="43" t="s">
        <x:v>357</x:v>
      </x:c>
      <x:c r="C26" s="43" t="s">
        <x:v>358</x:v>
      </x:c>
      <x:c r="D26" s="43" t="s">
        <x:v>304</x:v>
      </x:c>
      <x:c r="E26" s="44" t="s">
        <x:v>359</x:v>
      </x:c>
    </x:row>
    <x:row r="27" ht="15.75" customHeight="1">
      <x:c r="A27" s="43" t="s">
        <x:v>360</x:v>
      </x:c>
      <x:c r="B27" s="43" t="s">
        <x:v>361</x:v>
      </x:c>
      <x:c r="C27" s="43" t="s">
        <x:v>362</x:v>
      </x:c>
      <x:c r="D27" s="43" t="s">
        <x:v>363</x:v>
      </x:c>
      <x:c r="E27" s="44" t="s">
        <x:v>364</x:v>
      </x:c>
    </x:row>
    <x:row r="28" ht="15.75" customHeight="1">
      <x:c r="A28" s="43" t="s">
        <x:v>360</x:v>
      </x:c>
      <x:c r="B28" s="43" t="s">
        <x:v>365</x:v>
      </x:c>
      <x:c r="C28" s="43" t="s">
        <x:v>366</x:v>
      </x:c>
      <x:c r="D28" s="43" t="s">
        <x:v>363</x:v>
      </x:c>
      <x:c r="E28" s="44" t="s">
        <x:v>364</x:v>
      </x:c>
    </x:row>
    <x:row r="29" ht="15.75" customHeight="1">
      <x:c r="A29" s="43" t="s">
        <x:v>360</x:v>
      </x:c>
      <x:c r="B29" s="43" t="s">
        <x:v>367</x:v>
      </x:c>
      <x:c r="C29" s="43" t="s">
        <x:v>368</x:v>
      </x:c>
      <x:c r="D29" s="43" t="s">
        <x:v>369</x:v>
      </x:c>
      <x:c r="E29" s="44" t="s">
        <x:v>370</x:v>
      </x:c>
    </x:row>
    <x:row r="30" ht="15.75" customHeight="1">
      <x:c r="A30" s="43" t="s">
        <x:v>360</x:v>
      </x:c>
      <x:c r="B30" s="43" t="s">
        <x:v>371</x:v>
      </x:c>
      <x:c r="C30" s="43" t="s">
        <x:v>372</x:v>
      </x:c>
      <x:c r="D30" s="43" t="s">
        <x:v>373</x:v>
      </x:c>
      <x:c r="E30" s="44" t="s">
        <x:v>374</x:v>
      </x:c>
    </x:row>
    <x:row r="31" ht="15.75" customHeight="1">
      <x:c r="A31" s="43" t="s">
        <x:v>360</x:v>
      </x:c>
      <x:c r="B31" s="43" t="s">
        <x:v>375</x:v>
      </x:c>
      <x:c r="C31" s="43" t="s">
        <x:v>376</x:v>
      </x:c>
      <x:c r="D31" s="43" t="s">
        <x:v>377</x:v>
      </x:c>
      <x:c r="E31" s="44" t="s">
        <x:v>374</x:v>
      </x:c>
    </x:row>
    <x:row r="32" ht="15.75" customHeight="1">
      <x:c r="A32" s="43" t="s">
        <x:v>360</x:v>
      </x:c>
      <x:c r="B32" s="43" t="s">
        <x:v>378</x:v>
      </x:c>
      <x:c r="C32" s="43" t="s">
        <x:v>379</x:v>
      </x:c>
      <x:c r="D32" s="43" t="s">
        <x:v>373</x:v>
      </x:c>
      <x:c r="E32" s="44" t="s">
        <x:v>380</x:v>
      </x:c>
    </x:row>
    <x:row r="33" ht="15.75" customHeight="1">
      <x:c r="A33" s="43" t="s">
        <x:v>360</x:v>
      </x:c>
      <x:c r="B33" s="43" t="s">
        <x:v>381</x:v>
      </x:c>
      <x:c r="C33" s="43" t="s">
        <x:v>382</x:v>
      </x:c>
      <x:c r="D33" s="43" t="s">
        <x:v>383</x:v>
      </x:c>
      <x:c r="E33" s="44" t="s">
        <x:v>380</x:v>
      </x:c>
    </x:row>
    <x:row r="34" ht="15.75" customHeight="1">
      <x:c r="A34" s="43" t="s">
        <x:v>360</x:v>
      </x:c>
      <x:c r="B34" s="43" t="s">
        <x:v>384</x:v>
      </x:c>
      <x:c r="C34" s="43" t="s">
        <x:v>385</x:v>
      </x:c>
      <x:c r="D34" s="43" t="s">
        <x:v>386</x:v>
      </x:c>
      <x:c r="E34" s="44" t="s">
        <x:v>387</x:v>
      </x:c>
    </x:row>
    <x:row r="35" ht="15.75" customHeight="1">
      <x:c r="A35" s="43" t="s">
        <x:v>388</x:v>
      </x:c>
      <x:c r="B35" s="43" t="s">
        <x:v>389</x:v>
      </x:c>
      <x:c r="C35" s="43" t="s">
        <x:v>390</x:v>
      </x:c>
      <x:c r="D35" s="43" t="s">
        <x:v>391</x:v>
      </x:c>
      <x:c r="E35" s="44" t="s">
        <x:v>392</x:v>
      </x:c>
    </x:row>
    <x:row r="36" ht="15.75" customHeight="1">
      <x:c r="A36" s="43" t="s">
        <x:v>388</x:v>
      </x:c>
      <x:c r="B36" s="43" t="s">
        <x:v>393</x:v>
      </x:c>
      <x:c r="C36" s="43" t="s">
        <x:v>394</x:v>
      </x:c>
      <x:c r="D36" s="43" t="s">
        <x:v>391</x:v>
      </x:c>
      <x:c r="E36" s="44" t="s">
        <x:v>395</x:v>
      </x:c>
    </x:row>
    <x:row r="37" ht="15.75" customHeight="1">
      <x:c r="A37" s="43" t="s">
        <x:v>388</x:v>
      </x:c>
      <x:c r="B37" s="43" t="s">
        <x:v>396</x:v>
      </x:c>
      <x:c r="C37" s="43" t="s">
        <x:v>397</x:v>
      </x:c>
      <x:c r="D37" s="43" t="s">
        <x:v>391</x:v>
      </x:c>
      <x:c r="E37" s="44" t="s">
        <x:v>398</x:v>
      </x:c>
    </x:row>
    <x:row r="38" ht="15.75" customHeight="1">
      <x:c r="A38" s="43" t="s">
        <x:v>388</x:v>
      </x:c>
      <x:c r="B38" s="43" t="s">
        <x:v>399</x:v>
      </x:c>
      <x:c r="C38" s="43" t="s">
        <x:v>400</x:v>
      </x:c>
      <x:c r="D38" s="43" t="s">
        <x:v>210</x:v>
      </x:c>
      <x:c r="E38" s="44" t="s">
        <x:v>395</x:v>
      </x:c>
    </x:row>
    <x:row r="39" ht="15.75" customHeight="1">
      <x:c r="A39" s="43" t="s">
        <x:v>388</x:v>
      </x:c>
      <x:c r="B39" s="43" t="s">
        <x:v>401</x:v>
      </x:c>
      <x:c r="C39" s="43" t="s">
        <x:v>402</x:v>
      </x:c>
      <x:c r="D39" s="43" t="s">
        <x:v>403</x:v>
      </x:c>
      <x:c r="E39" s="44" t="s">
        <x:v>404</x:v>
      </x:c>
    </x:row>
    <x:row r="40" ht="15.75" customHeight="1">
      <x:c r="A40" s="43" t="s">
        <x:v>388</x:v>
      </x:c>
      <x:c r="B40" s="43" t="s">
        <x:v>405</x:v>
      </x:c>
      <x:c r="C40" s="43" t="s">
        <x:v>406</x:v>
      </x:c>
      <x:c r="D40" s="43" t="s">
        <x:v>407</x:v>
      </x:c>
      <x:c r="E40" s="44" t="s">
        <x:v>408</x:v>
      </x:c>
    </x:row>
    <x:row r="41" ht="15.75" customHeight="1">
      <x:c r="A41" s="43" t="s">
        <x:v>388</x:v>
      </x:c>
      <x:c r="B41" s="43" t="s">
        <x:v>409</x:v>
      </x:c>
      <x:c r="C41" s="43" t="s">
        <x:v>410</x:v>
      </x:c>
      <x:c r="D41" s="43" t="s">
        <x:v>411</x:v>
      </x:c>
      <x:c r="E41" s="44" t="s">
        <x:v>412</x:v>
      </x:c>
    </x:row>
    <x:row r="42" ht="15.75" customHeight="1"/>
    <x:row r="43" ht="15.75" customHeight="1">
      <x:c r="A43" s="3" t="s">
        <x:v>413</x:v>
      </x:c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